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aw_Data" sheetId="1" state="visible" r:id="rId3"/>
    <sheet name="Analysis" sheetId="2" state="visible" r:id="rId4"/>
    <sheet name="Pivot_Tables" sheetId="3" state="visible" r:id="rId5"/>
    <sheet name="Charts" sheetId="4" state="visible" r:id="rId6"/>
    <sheet name="Dashboard" sheetId="5" state="visible" r:id="rId7"/>
    <sheet name="Insights_Rep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<sst xmlns="http://schemas.openxmlformats.org/spreadsheetml/2006/main" count="3755" uniqueCount="1071">
  <si>
    <t xml:space="preserve">PR Final Project – Data Intelligence Dashboard | Raw Transactions Dataset</t>
  </si>
  <si>
    <t xml:space="preserve">Transaction ID</t>
  </si>
  <si>
    <t xml:space="preserve">Order Date</t>
  </si>
  <si>
    <t xml:space="preserve">Delivery Date</t>
  </si>
  <si>
    <t xml:space="preserve">Customer Name</t>
  </si>
  <si>
    <t xml:space="preserve">Customer ID</t>
  </si>
  <si>
    <t xml:space="preserve">Gender</t>
  </si>
  <si>
    <t xml:space="preserve">Age</t>
  </si>
  <si>
    <t xml:space="preserve">City</t>
  </si>
  <si>
    <t xml:space="preserve">State</t>
  </si>
  <si>
    <t xml:space="preserve">Region</t>
  </si>
  <si>
    <t xml:space="preserve">Product Category</t>
  </si>
  <si>
    <t xml:space="preserve">Product Name</t>
  </si>
  <si>
    <t xml:space="preserve">Quantity</t>
  </si>
  <si>
    <t xml:space="preserve">Unit Price</t>
  </si>
  <si>
    <t xml:space="preserve">Discount</t>
  </si>
  <si>
    <t xml:space="preserve">Revenue</t>
  </si>
  <si>
    <t xml:space="preserve">Profit</t>
  </si>
  <si>
    <t xml:space="preserve">Payment Mode</t>
  </si>
  <si>
    <t xml:space="preserve">Salesperson</t>
  </si>
  <si>
    <t xml:space="preserve">TXN0001</t>
  </si>
  <si>
    <t xml:space="preserve">2023-12-23</t>
  </si>
  <si>
    <t xml:space="preserve">2024-01-06</t>
  </si>
  <si>
    <t xml:space="preserve">Meera Chopra</t>
  </si>
  <si>
    <t xml:space="preserve">CUST1041</t>
  </si>
  <si>
    <t xml:space="preserve">Male</t>
  </si>
  <si>
    <t xml:space="preserve">Amritsar</t>
  </si>
  <si>
    <t xml:space="preserve">Punjab</t>
  </si>
  <si>
    <t xml:space="preserve">North</t>
  </si>
  <si>
    <t xml:space="preserve">Sports</t>
  </si>
  <si>
    <t xml:space="preserve">Running Shoes</t>
  </si>
  <si>
    <t xml:space="preserve">Credit Card</t>
  </si>
  <si>
    <t xml:space="preserve">Rahul Sharma</t>
  </si>
  <si>
    <t xml:space="preserve">TXN0002</t>
  </si>
  <si>
    <t xml:space="preserve">2023-10-27</t>
  </si>
  <si>
    <t xml:space="preserve">2023-11-06</t>
  </si>
  <si>
    <t xml:space="preserve">Ananya Verma</t>
  </si>
  <si>
    <t xml:space="preserve">CUST1016</t>
  </si>
  <si>
    <t xml:space="preserve">Chandigarh</t>
  </si>
  <si>
    <t xml:space="preserve">Yoga Mat</t>
  </si>
  <si>
    <t xml:space="preserve">Cash On Delivery</t>
  </si>
  <si>
    <t xml:space="preserve">Sneha Singh</t>
  </si>
  <si>
    <t xml:space="preserve">TXN0003</t>
  </si>
  <si>
    <t xml:space="preserve">2023-10-24</t>
  </si>
  <si>
    <t xml:space="preserve">2023-11-05</t>
  </si>
  <si>
    <t xml:space="preserve">Harsh Malhotra</t>
  </si>
  <si>
    <t xml:space="preserve">CUST1034</t>
  </si>
  <si>
    <t xml:space="preserve">Female</t>
  </si>
  <si>
    <t xml:space="preserve">Ranchi</t>
  </si>
  <si>
    <t xml:space="preserve">Jharkhand</t>
  </si>
  <si>
    <t xml:space="preserve">East</t>
  </si>
  <si>
    <t xml:space="preserve">Electronics</t>
  </si>
  <si>
    <t xml:space="preserve">Smartphone</t>
  </si>
  <si>
    <t xml:space="preserve">Net Banking</t>
  </si>
  <si>
    <t xml:space="preserve">Amit Kumar</t>
  </si>
  <si>
    <t xml:space="preserve">TXN0004</t>
  </si>
  <si>
    <t xml:space="preserve">2023-12-10</t>
  </si>
  <si>
    <t xml:space="preserve">Arjun Bose</t>
  </si>
  <si>
    <t xml:space="preserve">CUST1028</t>
  </si>
  <si>
    <t xml:space="preserve">Kolkata</t>
  </si>
  <si>
    <t xml:space="preserve">West Bengal</t>
  </si>
  <si>
    <t xml:space="preserve">Home &amp; Kitchen</t>
  </si>
  <si>
    <t xml:space="preserve">Table Lamp</t>
  </si>
  <si>
    <t xml:space="preserve">Vikram Verma</t>
  </si>
  <si>
    <t xml:space="preserve">TXN0005</t>
  </si>
  <si>
    <t xml:space="preserve">2023-03-09</t>
  </si>
  <si>
    <t xml:space="preserve">2023-03-17</t>
  </si>
  <si>
    <t xml:space="preserve">Kavya Mehta</t>
  </si>
  <si>
    <t xml:space="preserve">CUST1071</t>
  </si>
  <si>
    <t xml:space="preserve">Bhubaneswar</t>
  </si>
  <si>
    <t xml:space="preserve">Odisha</t>
  </si>
  <si>
    <t xml:space="preserve">Headphones</t>
  </si>
  <si>
    <t xml:space="preserve">UPI</t>
  </si>
  <si>
    <t xml:space="preserve">Priya Patel</t>
  </si>
  <si>
    <t xml:space="preserve">TXN0006</t>
  </si>
  <si>
    <t xml:space="preserve">2023-03-10</t>
  </si>
  <si>
    <t xml:space="preserve">Vikram Bose</t>
  </si>
  <si>
    <t xml:space="preserve">Ahmedabad</t>
  </si>
  <si>
    <t xml:space="preserve">Gujarat</t>
  </si>
  <si>
    <t xml:space="preserve">West</t>
  </si>
  <si>
    <t xml:space="preserve">Deepa Nair</t>
  </si>
  <si>
    <t xml:space="preserve">TXN0007</t>
  </si>
  <si>
    <t xml:space="preserve">2023-05-09</t>
  </si>
  <si>
    <t xml:space="preserve">2023-05-12</t>
  </si>
  <si>
    <t xml:space="preserve">Rohan Verma</t>
  </si>
  <si>
    <t xml:space="preserve">CUST1057</t>
  </si>
  <si>
    <t xml:space="preserve">Kochi</t>
  </si>
  <si>
    <t xml:space="preserve">Kerala</t>
  </si>
  <si>
    <t xml:space="preserve">South</t>
  </si>
  <si>
    <t xml:space="preserve">Printer</t>
  </si>
  <si>
    <t xml:space="preserve">Raj Malhotra</t>
  </si>
  <si>
    <t xml:space="preserve">TXN0008</t>
  </si>
  <si>
    <t xml:space="preserve">2023-10-15</t>
  </si>
  <si>
    <t xml:space="preserve">2023-10-18</t>
  </si>
  <si>
    <t xml:space="preserve">Aditya Reddy</t>
  </si>
  <si>
    <t xml:space="preserve">CUST1006</t>
  </si>
  <si>
    <t xml:space="preserve">Anita Gupta</t>
  </si>
  <si>
    <t xml:space="preserve">TXN0009</t>
  </si>
  <si>
    <t xml:space="preserve">2023-01-21</t>
  </si>
  <si>
    <t xml:space="preserve">2023-01-29</t>
  </si>
  <si>
    <t xml:space="preserve">Aditya Malhotra</t>
  </si>
  <si>
    <t xml:space="preserve">CUST1021</t>
  </si>
  <si>
    <t xml:space="preserve">Lucknow</t>
  </si>
  <si>
    <t xml:space="preserve">Uttar Pradesh</t>
  </si>
  <si>
    <t xml:space="preserve">Clothing</t>
  </si>
  <si>
    <t xml:space="preserve">Jacket</t>
  </si>
  <si>
    <t xml:space="preserve">Debit Card</t>
  </si>
  <si>
    <t xml:space="preserve">TXN0010</t>
  </si>
  <si>
    <t xml:space="preserve">2023-01-13</t>
  </si>
  <si>
    <t xml:space="preserve">2023-01-18</t>
  </si>
  <si>
    <t xml:space="preserve">Meera Bose</t>
  </si>
  <si>
    <t xml:space="preserve">CUST1029</t>
  </si>
  <si>
    <t xml:space="preserve">Beauty</t>
  </si>
  <si>
    <t xml:space="preserve">Hair Serum</t>
  </si>
  <si>
    <t xml:space="preserve">TXN0011</t>
  </si>
  <si>
    <t xml:space="preserve">2023-06-29</t>
  </si>
  <si>
    <t xml:space="preserve">2023-07-06</t>
  </si>
  <si>
    <t xml:space="preserve">Siddharth Patel</t>
  </si>
  <si>
    <t xml:space="preserve">CUST1066</t>
  </si>
  <si>
    <t xml:space="preserve">Delhi</t>
  </si>
  <si>
    <t xml:space="preserve">Suresh Reddy</t>
  </si>
  <si>
    <t xml:space="preserve">TXN0012</t>
  </si>
  <si>
    <t xml:space="preserve">2023-06-19</t>
  </si>
  <si>
    <t xml:space="preserve">2023-06-22</t>
  </si>
  <si>
    <t xml:space="preserve">Raj Rao</t>
  </si>
  <si>
    <t xml:space="preserve">Bangalore</t>
  </si>
  <si>
    <t xml:space="preserve">Karnataka</t>
  </si>
  <si>
    <t xml:space="preserve">Smart Watch</t>
  </si>
  <si>
    <t xml:space="preserve">Kavita Joshi</t>
  </si>
  <si>
    <t xml:space="preserve">TXN0013</t>
  </si>
  <si>
    <t xml:space="preserve">2023-09-19</t>
  </si>
  <si>
    <t xml:space="preserve">2023-09-23</t>
  </si>
  <si>
    <t xml:space="preserve">Vikram Gupta</t>
  </si>
  <si>
    <t xml:space="preserve">CUST1056</t>
  </si>
  <si>
    <t xml:space="preserve">Books</t>
  </si>
  <si>
    <t xml:space="preserve">Children Book</t>
  </si>
  <si>
    <t xml:space="preserve">TXN0014</t>
  </si>
  <si>
    <t xml:space="preserve">2023-11-16</t>
  </si>
  <si>
    <t xml:space="preserve">2023-11-24</t>
  </si>
  <si>
    <t xml:space="preserve">Kavya Kumar</t>
  </si>
  <si>
    <t xml:space="preserve">CUST1054</t>
  </si>
  <si>
    <t xml:space="preserve">Coimbatore</t>
  </si>
  <si>
    <t xml:space="preserve">Tamil Nadu</t>
  </si>
  <si>
    <t xml:space="preserve">Shampoo</t>
  </si>
  <si>
    <t xml:space="preserve">EMI</t>
  </si>
  <si>
    <t xml:space="preserve">TXN0015</t>
  </si>
  <si>
    <t xml:space="preserve">2023-12-13</t>
  </si>
  <si>
    <t xml:space="preserve">2023-12-27</t>
  </si>
  <si>
    <t xml:space="preserve">Neha Verma</t>
  </si>
  <si>
    <t xml:space="preserve">Patna</t>
  </si>
  <si>
    <t xml:space="preserve">Bihar</t>
  </si>
  <si>
    <t xml:space="preserve">Jeans</t>
  </si>
  <si>
    <t xml:space="preserve">TXN0016</t>
  </si>
  <si>
    <t xml:space="preserve">2023-09-29</t>
  </si>
  <si>
    <t xml:space="preserve">Ritu Mehta</t>
  </si>
  <si>
    <t xml:space="preserve">CUST1040</t>
  </si>
  <si>
    <t xml:space="preserve">Jaipur</t>
  </si>
  <si>
    <t xml:space="preserve">Rajasthan</t>
  </si>
  <si>
    <t xml:space="preserve">Perfume</t>
  </si>
  <si>
    <t xml:space="preserve">TXN0017</t>
  </si>
  <si>
    <t xml:space="preserve">2023-03-20</t>
  </si>
  <si>
    <t xml:space="preserve">Vivek Patel</t>
  </si>
  <si>
    <t xml:space="preserve">CUST1050</t>
  </si>
  <si>
    <t xml:space="preserve">Mumbai</t>
  </si>
  <si>
    <t xml:space="preserve">Maharashtra</t>
  </si>
  <si>
    <t xml:space="preserve">TXN0018</t>
  </si>
  <si>
    <t xml:space="preserve">2023-05-05</t>
  </si>
  <si>
    <t xml:space="preserve">2023-05-10</t>
  </si>
  <si>
    <t xml:space="preserve">Divya Shah</t>
  </si>
  <si>
    <t xml:space="preserve">CUST1072</t>
  </si>
  <si>
    <t xml:space="preserve">Face Cream</t>
  </si>
  <si>
    <t xml:space="preserve">TXN0019</t>
  </si>
  <si>
    <t xml:space="preserve">2023-08-22</t>
  </si>
  <si>
    <t xml:space="preserve">2023-08-27</t>
  </si>
  <si>
    <t xml:space="preserve">Rohan Chopra</t>
  </si>
  <si>
    <t xml:space="preserve">CUST1061</t>
  </si>
  <si>
    <t xml:space="preserve">Guwahati</t>
  </si>
  <si>
    <t xml:space="preserve">Assam</t>
  </si>
  <si>
    <t xml:space="preserve">Biography</t>
  </si>
  <si>
    <t xml:space="preserve">TXN0020</t>
  </si>
  <si>
    <t xml:space="preserve">2023-05-07</t>
  </si>
  <si>
    <t xml:space="preserve">2023-05-20</t>
  </si>
  <si>
    <t xml:space="preserve">Divya Malhotra</t>
  </si>
  <si>
    <t xml:space="preserve">CUST1070</t>
  </si>
  <si>
    <t xml:space="preserve">Hyderabad</t>
  </si>
  <si>
    <t xml:space="preserve">Telangana</t>
  </si>
  <si>
    <t xml:space="preserve">TXN0021</t>
  </si>
  <si>
    <t xml:space="preserve">2023-03-19</t>
  </si>
  <si>
    <t xml:space="preserve">2023-03-25</t>
  </si>
  <si>
    <t xml:space="preserve">Divya Reddy</t>
  </si>
  <si>
    <t xml:space="preserve">Chennai</t>
  </si>
  <si>
    <t xml:space="preserve">Technical Book</t>
  </si>
  <si>
    <t xml:space="preserve">TXN0022</t>
  </si>
  <si>
    <t xml:space="preserve">2023-12-26</t>
  </si>
  <si>
    <t xml:space="preserve">Swimming Goggles</t>
  </si>
  <si>
    <t xml:space="preserve">TXN0023</t>
  </si>
  <si>
    <t xml:space="preserve">2023-09-06</t>
  </si>
  <si>
    <t xml:space="preserve">2023-09-09</t>
  </si>
  <si>
    <t xml:space="preserve">CUST1076</t>
  </si>
  <si>
    <t xml:space="preserve">TXN0024</t>
  </si>
  <si>
    <t xml:space="preserve">2023-02-12</t>
  </si>
  <si>
    <t xml:space="preserve">2023-02-25</t>
  </si>
  <si>
    <t xml:space="preserve">Vivek Rao</t>
  </si>
  <si>
    <t xml:space="preserve">CUST1049</t>
  </si>
  <si>
    <t xml:space="preserve">TXN0025</t>
  </si>
  <si>
    <t xml:space="preserve">2023-05-14</t>
  </si>
  <si>
    <t xml:space="preserve">CUST1032</t>
  </si>
  <si>
    <t xml:space="preserve">Fiction Novel</t>
  </si>
  <si>
    <t xml:space="preserve">TXN0026</t>
  </si>
  <si>
    <t xml:space="preserve">2023-11-15</t>
  </si>
  <si>
    <t xml:space="preserve">2023-11-20</t>
  </si>
  <si>
    <t xml:space="preserve">Siddharth Mehta</t>
  </si>
  <si>
    <t xml:space="preserve">CUST1078</t>
  </si>
  <si>
    <t xml:space="preserve">Kids Wear</t>
  </si>
  <si>
    <t xml:space="preserve">TXN0027</t>
  </si>
  <si>
    <t xml:space="preserve">2023-04-01</t>
  </si>
  <si>
    <t xml:space="preserve">Raj Bose</t>
  </si>
  <si>
    <t xml:space="preserve">Laptop</t>
  </si>
  <si>
    <t xml:space="preserve">TXN0028</t>
  </si>
  <si>
    <t xml:space="preserve">2023-12-17</t>
  </si>
  <si>
    <t xml:space="preserve">2023-12-29</t>
  </si>
  <si>
    <t xml:space="preserve">CUST1063</t>
  </si>
  <si>
    <t xml:space="preserve">TXN0029</t>
  </si>
  <si>
    <t xml:space="preserve">2023-07-05</t>
  </si>
  <si>
    <t xml:space="preserve">2023-07-18</t>
  </si>
  <si>
    <t xml:space="preserve">TXN0030</t>
  </si>
  <si>
    <t xml:space="preserve">2023-05-18</t>
  </si>
  <si>
    <t xml:space="preserve">2023-05-26</t>
  </si>
  <si>
    <t xml:space="preserve">CUST1064</t>
  </si>
  <si>
    <t xml:space="preserve">Women's Dress</t>
  </si>
  <si>
    <t xml:space="preserve">TXN0031</t>
  </si>
  <si>
    <t xml:space="preserve">2023-09-07</t>
  </si>
  <si>
    <t xml:space="preserve">2023-09-13</t>
  </si>
  <si>
    <t xml:space="preserve">Raj Shah</t>
  </si>
  <si>
    <t xml:space="preserve">CUST1025</t>
  </si>
  <si>
    <t xml:space="preserve">Bed Sheet</t>
  </si>
  <si>
    <t xml:space="preserve">TXN0032</t>
  </si>
  <si>
    <t xml:space="preserve">2023-07-28</t>
  </si>
  <si>
    <t xml:space="preserve">2023-08-07</t>
  </si>
  <si>
    <t xml:space="preserve">Sneha Shah</t>
  </si>
  <si>
    <t xml:space="preserve">Dumbbells</t>
  </si>
  <si>
    <t xml:space="preserve">TXN0033</t>
  </si>
  <si>
    <t xml:space="preserve">2023-07-08</t>
  </si>
  <si>
    <t xml:space="preserve">Priya Singh</t>
  </si>
  <si>
    <t xml:space="preserve">Cycling Helmet</t>
  </si>
  <si>
    <t xml:space="preserve">TXN0034</t>
  </si>
  <si>
    <t xml:space="preserve">2023-06-11</t>
  </si>
  <si>
    <t xml:space="preserve">2023-06-15</t>
  </si>
  <si>
    <t xml:space="preserve">Raj Chopra</t>
  </si>
  <si>
    <t xml:space="preserve">TXN0035</t>
  </si>
  <si>
    <t xml:space="preserve">2023-07-04</t>
  </si>
  <si>
    <t xml:space="preserve">2023-07-09</t>
  </si>
  <si>
    <t xml:space="preserve">Ritu Malhotra</t>
  </si>
  <si>
    <t xml:space="preserve">CUST1002</t>
  </si>
  <si>
    <t xml:space="preserve">Mixer Grinder</t>
  </si>
  <si>
    <t xml:space="preserve">TXN0036</t>
  </si>
  <si>
    <t xml:space="preserve">2023-08-29</t>
  </si>
  <si>
    <t xml:space="preserve">2023-09-08</t>
  </si>
  <si>
    <t xml:space="preserve">CUST1010</t>
  </si>
  <si>
    <t xml:space="preserve">TXN0037</t>
  </si>
  <si>
    <t xml:space="preserve">2023-03-24</t>
  </si>
  <si>
    <t xml:space="preserve">Badminton Set</t>
  </si>
  <si>
    <t xml:space="preserve">TXN0038</t>
  </si>
  <si>
    <t xml:space="preserve">2023-06-02</t>
  </si>
  <si>
    <t xml:space="preserve">2023-06-14</t>
  </si>
  <si>
    <t xml:space="preserve">CUST1011</t>
  </si>
  <si>
    <t xml:space="preserve">Surat</t>
  </si>
  <si>
    <t xml:space="preserve">Cookbook</t>
  </si>
  <si>
    <t xml:space="preserve">TXN0039</t>
  </si>
  <si>
    <t xml:space="preserve">2023-03-30</t>
  </si>
  <si>
    <t xml:space="preserve">2023-04-10</t>
  </si>
  <si>
    <t xml:space="preserve">Rohan Kumar</t>
  </si>
  <si>
    <t xml:space="preserve">CUST1037</t>
  </si>
  <si>
    <t xml:space="preserve">Tablet</t>
  </si>
  <si>
    <t xml:space="preserve">TXN0040</t>
  </si>
  <si>
    <t xml:space="preserve">2023-02-06</t>
  </si>
  <si>
    <t xml:space="preserve">2023-02-19</t>
  </si>
  <si>
    <t xml:space="preserve">Pooja Reddy</t>
  </si>
  <si>
    <t xml:space="preserve">TXN0041</t>
  </si>
  <si>
    <t xml:space="preserve">2023-06-07</t>
  </si>
  <si>
    <t xml:space="preserve">Sunscreen</t>
  </si>
  <si>
    <t xml:space="preserve">TXN0042</t>
  </si>
  <si>
    <t xml:space="preserve">2023-08-10</t>
  </si>
  <si>
    <t xml:space="preserve">2023-08-24</t>
  </si>
  <si>
    <t xml:space="preserve">CUST1035</t>
  </si>
  <si>
    <t xml:space="preserve">TXN0043</t>
  </si>
  <si>
    <t xml:space="preserve">2023-03-31</t>
  </si>
  <si>
    <t xml:space="preserve">CUST1045</t>
  </si>
  <si>
    <t xml:space="preserve">TXN0044</t>
  </si>
  <si>
    <t xml:space="preserve">2023-06-27</t>
  </si>
  <si>
    <t xml:space="preserve">Nisha Rao</t>
  </si>
  <si>
    <t xml:space="preserve">CUST1012</t>
  </si>
  <si>
    <t xml:space="preserve">TXN0045</t>
  </si>
  <si>
    <t xml:space="preserve">TXN0046</t>
  </si>
  <si>
    <t xml:space="preserve">2023-05-17</t>
  </si>
  <si>
    <t xml:space="preserve">2023-05-28</t>
  </si>
  <si>
    <t xml:space="preserve">Vivek Bose</t>
  </si>
  <si>
    <t xml:space="preserve">TXN0047</t>
  </si>
  <si>
    <t xml:space="preserve">2023-08-01</t>
  </si>
  <si>
    <t xml:space="preserve">CUST1062</t>
  </si>
  <si>
    <t xml:space="preserve">TXN0048</t>
  </si>
  <si>
    <t xml:space="preserve">2023-09-02</t>
  </si>
  <si>
    <t xml:space="preserve">CUST1065</t>
  </si>
  <si>
    <t xml:space="preserve">Formal Shoes</t>
  </si>
  <si>
    <t xml:space="preserve">TXN0049</t>
  </si>
  <si>
    <t xml:space="preserve">2023-05-25</t>
  </si>
  <si>
    <t xml:space="preserve">2023-06-08</t>
  </si>
  <si>
    <t xml:space="preserve">CUST1042</t>
  </si>
  <si>
    <t xml:space="preserve">TXN0050</t>
  </si>
  <si>
    <t xml:space="preserve">2023-10-20</t>
  </si>
  <si>
    <t xml:space="preserve">2023-10-29</t>
  </si>
  <si>
    <t xml:space="preserve">CUST1020</t>
  </si>
  <si>
    <t xml:space="preserve">TXN0051</t>
  </si>
  <si>
    <t xml:space="preserve">2023-03-06</t>
  </si>
  <si>
    <t xml:space="preserve">TXN0052</t>
  </si>
  <si>
    <t xml:space="preserve">2023-05-16</t>
  </si>
  <si>
    <t xml:space="preserve">2023-05-24</t>
  </si>
  <si>
    <t xml:space="preserve">Harsh Bose</t>
  </si>
  <si>
    <t xml:space="preserve">CUST1005</t>
  </si>
  <si>
    <t xml:space="preserve">TXN0053</t>
  </si>
  <si>
    <t xml:space="preserve">2023-05-01</t>
  </si>
  <si>
    <t xml:space="preserve">CUST1039</t>
  </si>
  <si>
    <t xml:space="preserve">TXN0054</t>
  </si>
  <si>
    <t xml:space="preserve">2023-06-16</t>
  </si>
  <si>
    <t xml:space="preserve">2023-07-01</t>
  </si>
  <si>
    <t xml:space="preserve">Vivek Sharma</t>
  </si>
  <si>
    <t xml:space="preserve">CUST1023</t>
  </si>
  <si>
    <t xml:space="preserve">TXN0055</t>
  </si>
  <si>
    <t xml:space="preserve">2023-07-15</t>
  </si>
  <si>
    <t xml:space="preserve">2023-07-27</t>
  </si>
  <si>
    <t xml:space="preserve">Lip Balm</t>
  </si>
  <si>
    <t xml:space="preserve">TXN0056</t>
  </si>
  <si>
    <t xml:space="preserve">2023-12-24</t>
  </si>
  <si>
    <t xml:space="preserve">Kavya Reddy</t>
  </si>
  <si>
    <t xml:space="preserve">TXN0057</t>
  </si>
  <si>
    <t xml:space="preserve">2023-09-05</t>
  </si>
  <si>
    <t xml:space="preserve">Aarav Malhotra</t>
  </si>
  <si>
    <t xml:space="preserve">CUST1073</t>
  </si>
  <si>
    <t xml:space="preserve">TXN0058</t>
  </si>
  <si>
    <t xml:space="preserve">2023-11-07</t>
  </si>
  <si>
    <t xml:space="preserve">2023-11-21</t>
  </si>
  <si>
    <t xml:space="preserve">CUST1018</t>
  </si>
  <si>
    <t xml:space="preserve">TXN0059</t>
  </si>
  <si>
    <t xml:space="preserve">2023-11-18</t>
  </si>
  <si>
    <t xml:space="preserve">2023-12-01</t>
  </si>
  <si>
    <t xml:space="preserve">TXN0060</t>
  </si>
  <si>
    <t xml:space="preserve">Harsh Singh</t>
  </si>
  <si>
    <t xml:space="preserve">CUST1044</t>
  </si>
  <si>
    <t xml:space="preserve">Pune</t>
  </si>
  <si>
    <t xml:space="preserve">TXN0061</t>
  </si>
  <si>
    <t xml:space="preserve">2023-02-08</t>
  </si>
  <si>
    <t xml:space="preserve">2023-02-13</t>
  </si>
  <si>
    <t xml:space="preserve">CUST1048</t>
  </si>
  <si>
    <t xml:space="preserve">TXN0062</t>
  </si>
  <si>
    <t xml:space="preserve">TXN0063</t>
  </si>
  <si>
    <t xml:space="preserve">2023-11-22</t>
  </si>
  <si>
    <t xml:space="preserve">2023-12-02</t>
  </si>
  <si>
    <t xml:space="preserve">Nisha Patel</t>
  </si>
  <si>
    <t xml:space="preserve">CUST1031</t>
  </si>
  <si>
    <t xml:space="preserve">TXN0064</t>
  </si>
  <si>
    <t xml:space="preserve">Vacuum Cleaner</t>
  </si>
  <si>
    <t xml:space="preserve">TXN0065</t>
  </si>
  <si>
    <t xml:space="preserve">2023-04-22</t>
  </si>
  <si>
    <t xml:space="preserve">2023-05-02</t>
  </si>
  <si>
    <t xml:space="preserve">Arjun Mehta</t>
  </si>
  <si>
    <t xml:space="preserve">CUST1036</t>
  </si>
  <si>
    <t xml:space="preserve">TXN0066</t>
  </si>
  <si>
    <t xml:space="preserve">2023-08-21</t>
  </si>
  <si>
    <t xml:space="preserve">2023-08-25</t>
  </si>
  <si>
    <t xml:space="preserve">Nagpur</t>
  </si>
  <si>
    <t xml:space="preserve">TXN0067</t>
  </si>
  <si>
    <t xml:space="preserve">2023-04-21</t>
  </si>
  <si>
    <t xml:space="preserve">2023-04-27</t>
  </si>
  <si>
    <t xml:space="preserve">CUST1015</t>
  </si>
  <si>
    <t xml:space="preserve">Air Purifier</t>
  </si>
  <si>
    <t xml:space="preserve">TXN0068</t>
  </si>
  <si>
    <t xml:space="preserve">2023-03-12</t>
  </si>
  <si>
    <t xml:space="preserve">CUST1009</t>
  </si>
  <si>
    <t xml:space="preserve">Sofa Set</t>
  </si>
  <si>
    <t xml:space="preserve">TXN0069</t>
  </si>
  <si>
    <t xml:space="preserve">2023-07-16</t>
  </si>
  <si>
    <t xml:space="preserve">CUST1004</t>
  </si>
  <si>
    <t xml:space="preserve">Football</t>
  </si>
  <si>
    <t xml:space="preserve">TXN0070</t>
  </si>
  <si>
    <t xml:space="preserve">2023-07-25</t>
  </si>
  <si>
    <t xml:space="preserve">2023-08-03</t>
  </si>
  <si>
    <t xml:space="preserve">TXN0071</t>
  </si>
  <si>
    <t xml:space="preserve">2023-10-08</t>
  </si>
  <si>
    <t xml:space="preserve">2023-10-22</t>
  </si>
  <si>
    <t xml:space="preserve">TXN0072</t>
  </si>
  <si>
    <t xml:space="preserve">2023-08-09</t>
  </si>
  <si>
    <t xml:space="preserve">2023-08-19</t>
  </si>
  <si>
    <t xml:space="preserve">CUST1033</t>
  </si>
  <si>
    <t xml:space="preserve">TXN0073</t>
  </si>
  <si>
    <t xml:space="preserve">2023-12-18</t>
  </si>
  <si>
    <t xml:space="preserve">2023-12-28</t>
  </si>
  <si>
    <t xml:space="preserve">TXN0074</t>
  </si>
  <si>
    <t xml:space="preserve">2023-12-14</t>
  </si>
  <si>
    <t xml:space="preserve">Karan Mehta</t>
  </si>
  <si>
    <t xml:space="preserve">TXN0075</t>
  </si>
  <si>
    <t xml:space="preserve">2023-07-10</t>
  </si>
  <si>
    <t xml:space="preserve">Microwave</t>
  </si>
  <si>
    <t xml:space="preserve">TXN0076</t>
  </si>
  <si>
    <t xml:space="preserve">2023-06-03</t>
  </si>
  <si>
    <t xml:space="preserve">Cookware Set</t>
  </si>
  <si>
    <t xml:space="preserve">TXN0077</t>
  </si>
  <si>
    <t xml:space="preserve">2023-04-30</t>
  </si>
  <si>
    <t xml:space="preserve">Academic Book</t>
  </si>
  <si>
    <t xml:space="preserve">TXN0078</t>
  </si>
  <si>
    <t xml:space="preserve">2023-01-26</t>
  </si>
  <si>
    <t xml:space="preserve">Meera Shah</t>
  </si>
  <si>
    <t xml:space="preserve">TXN0079</t>
  </si>
  <si>
    <t xml:space="preserve">Raj Sharma</t>
  </si>
  <si>
    <t xml:space="preserve">TXN0080</t>
  </si>
  <si>
    <t xml:space="preserve">2023-05-11</t>
  </si>
  <si>
    <t xml:space="preserve">TXN0081</t>
  </si>
  <si>
    <t xml:space="preserve">2023-02-15</t>
  </si>
  <si>
    <t xml:space="preserve">CUST1052</t>
  </si>
  <si>
    <t xml:space="preserve">TXN0082</t>
  </si>
  <si>
    <t xml:space="preserve">2023-05-29</t>
  </si>
  <si>
    <t xml:space="preserve">Nisha Malhotra</t>
  </si>
  <si>
    <t xml:space="preserve">CUST1014</t>
  </si>
  <si>
    <t xml:space="preserve">TXN0083</t>
  </si>
  <si>
    <t xml:space="preserve">Aarav Patel</t>
  </si>
  <si>
    <t xml:space="preserve">TXN0084</t>
  </si>
  <si>
    <t xml:space="preserve">2023-04-25</t>
  </si>
  <si>
    <t xml:space="preserve">Arjun Joshi</t>
  </si>
  <si>
    <t xml:space="preserve">TXN0085</t>
  </si>
  <si>
    <t xml:space="preserve">2023-08-26</t>
  </si>
  <si>
    <t xml:space="preserve">2023-09-10</t>
  </si>
  <si>
    <t xml:space="preserve">Aditya Singh</t>
  </si>
  <si>
    <t xml:space="preserve">TXN0086</t>
  </si>
  <si>
    <t xml:space="preserve">2023-05-21</t>
  </si>
  <si>
    <t xml:space="preserve">Aditya Joshi</t>
  </si>
  <si>
    <t xml:space="preserve">Camera</t>
  </si>
  <si>
    <t xml:space="preserve">TXN0087</t>
  </si>
  <si>
    <t xml:space="preserve">2023-09-17</t>
  </si>
  <si>
    <t xml:space="preserve">2023-09-26</t>
  </si>
  <si>
    <t xml:space="preserve">Divya Singh</t>
  </si>
  <si>
    <t xml:space="preserve">CUST1058</t>
  </si>
  <si>
    <t xml:space="preserve">TXN0088</t>
  </si>
  <si>
    <t xml:space="preserve">2023-02-24</t>
  </si>
  <si>
    <t xml:space="preserve">Vivek Gupta</t>
  </si>
  <si>
    <t xml:space="preserve">TXN0089</t>
  </si>
  <si>
    <t xml:space="preserve">2023-07-29</t>
  </si>
  <si>
    <t xml:space="preserve">2023-08-13</t>
  </si>
  <si>
    <t xml:space="preserve">Harsh Chopra</t>
  </si>
  <si>
    <t xml:space="preserve">TXN0090</t>
  </si>
  <si>
    <t xml:space="preserve">2023-02-11</t>
  </si>
  <si>
    <t xml:space="preserve">2023-02-23</t>
  </si>
  <si>
    <t xml:space="preserve">TXN0091</t>
  </si>
  <si>
    <t xml:space="preserve">2023-03-07</t>
  </si>
  <si>
    <t xml:space="preserve">TXN0092</t>
  </si>
  <si>
    <t xml:space="preserve">2023-03-21</t>
  </si>
  <si>
    <t xml:space="preserve">TXN0093</t>
  </si>
  <si>
    <t xml:space="preserve">2023-04-03</t>
  </si>
  <si>
    <t xml:space="preserve">2023-04-17</t>
  </si>
  <si>
    <t xml:space="preserve">TXN0094</t>
  </si>
  <si>
    <t xml:space="preserve">2023-05-03</t>
  </si>
  <si>
    <t xml:space="preserve">CUST1026</t>
  </si>
  <si>
    <t xml:space="preserve">TXN0095</t>
  </si>
  <si>
    <t xml:space="preserve">Ritu Chopra</t>
  </si>
  <si>
    <t xml:space="preserve">Foundation</t>
  </si>
  <si>
    <t xml:space="preserve">TXN0096</t>
  </si>
  <si>
    <t xml:space="preserve">2023-09-20</t>
  </si>
  <si>
    <t xml:space="preserve">2023-09-25</t>
  </si>
  <si>
    <t xml:space="preserve">Self-Help Book</t>
  </si>
  <si>
    <t xml:space="preserve">TXN0097</t>
  </si>
  <si>
    <t xml:space="preserve">2023-04-28</t>
  </si>
  <si>
    <t xml:space="preserve">Divya Nair</t>
  </si>
  <si>
    <t xml:space="preserve">TXN0098</t>
  </si>
  <si>
    <t xml:space="preserve">2023-01-03</t>
  </si>
  <si>
    <t xml:space="preserve">2023-01-07</t>
  </si>
  <si>
    <t xml:space="preserve">TXN0099</t>
  </si>
  <si>
    <t xml:space="preserve">2023-01-25</t>
  </si>
  <si>
    <t xml:space="preserve">2023-01-31</t>
  </si>
  <si>
    <t xml:space="preserve">Rohan Nair</t>
  </si>
  <si>
    <t xml:space="preserve">CUST1019</t>
  </si>
  <si>
    <t xml:space="preserve">TXN0100</t>
  </si>
  <si>
    <t xml:space="preserve">2023-01-01</t>
  </si>
  <si>
    <t xml:space="preserve">TXN0101</t>
  </si>
  <si>
    <t xml:space="preserve">2023-10-11</t>
  </si>
  <si>
    <t xml:space="preserve">2023-10-14</t>
  </si>
  <si>
    <t xml:space="preserve">TXN0102</t>
  </si>
  <si>
    <t xml:space="preserve">2023-10-25</t>
  </si>
  <si>
    <t xml:space="preserve">2023-11-08</t>
  </si>
  <si>
    <t xml:space="preserve">Siddharth Joshi</t>
  </si>
  <si>
    <t xml:space="preserve">CUST1024</t>
  </si>
  <si>
    <t xml:space="preserve">TXN0103</t>
  </si>
  <si>
    <t xml:space="preserve">2023-08-23</t>
  </si>
  <si>
    <t xml:space="preserve">Karan Nair</t>
  </si>
  <si>
    <t xml:space="preserve">TXN0104</t>
  </si>
  <si>
    <t xml:space="preserve">2023-11-28</t>
  </si>
  <si>
    <t xml:space="preserve">2023-12-04</t>
  </si>
  <si>
    <t xml:space="preserve">TXN0105</t>
  </si>
  <si>
    <t xml:space="preserve">2023-12-21</t>
  </si>
  <si>
    <t xml:space="preserve">2023-12-31</t>
  </si>
  <si>
    <t xml:space="preserve">Harsh Shah</t>
  </si>
  <si>
    <t xml:space="preserve">TXN0106</t>
  </si>
  <si>
    <t xml:space="preserve">2023-12-05</t>
  </si>
  <si>
    <t xml:space="preserve">2023-12-12</t>
  </si>
  <si>
    <t xml:space="preserve">Harsh Mehta</t>
  </si>
  <si>
    <t xml:space="preserve">TXN0107</t>
  </si>
  <si>
    <t xml:space="preserve">2023-02-21</t>
  </si>
  <si>
    <t xml:space="preserve">Sneha Rao</t>
  </si>
  <si>
    <t xml:space="preserve">Body Lotion</t>
  </si>
  <si>
    <t xml:space="preserve">TXN0108</t>
  </si>
  <si>
    <t xml:space="preserve">2023-02-04</t>
  </si>
  <si>
    <t xml:space="preserve">2023-02-10</t>
  </si>
  <si>
    <t xml:space="preserve">Kavya Sharma</t>
  </si>
  <si>
    <t xml:space="preserve">TXN0109</t>
  </si>
  <si>
    <t xml:space="preserve">2023-03-23</t>
  </si>
  <si>
    <t xml:space="preserve">TXN0110</t>
  </si>
  <si>
    <t xml:space="preserve">2023-05-15</t>
  </si>
  <si>
    <t xml:space="preserve">2023-05-30</t>
  </si>
  <si>
    <t xml:space="preserve">Rohan Reddy</t>
  </si>
  <si>
    <t xml:space="preserve">TXN0111</t>
  </si>
  <si>
    <t xml:space="preserve">2023-02-14</t>
  </si>
  <si>
    <t xml:space="preserve">2023-03-01</t>
  </si>
  <si>
    <t xml:space="preserve">Harsh Gupta</t>
  </si>
  <si>
    <t xml:space="preserve">TXN0112</t>
  </si>
  <si>
    <t xml:space="preserve">2023-04-13</t>
  </si>
  <si>
    <t xml:space="preserve">TXN0113</t>
  </si>
  <si>
    <t xml:space="preserve">2023-07-23</t>
  </si>
  <si>
    <t xml:space="preserve">2023-08-06</t>
  </si>
  <si>
    <t xml:space="preserve">TXN0114</t>
  </si>
  <si>
    <t xml:space="preserve">2023-12-15</t>
  </si>
  <si>
    <t xml:space="preserve">TXN0115</t>
  </si>
  <si>
    <t xml:space="preserve">TXN0116</t>
  </si>
  <si>
    <t xml:space="preserve">2023-02-17</t>
  </si>
  <si>
    <t xml:space="preserve">2023-02-28</t>
  </si>
  <si>
    <t xml:space="preserve">TXN0117</t>
  </si>
  <si>
    <t xml:space="preserve">2023-01-24</t>
  </si>
  <si>
    <t xml:space="preserve">TXN0118</t>
  </si>
  <si>
    <t xml:space="preserve">TXN0119</t>
  </si>
  <si>
    <t xml:space="preserve">2023-06-26</t>
  </si>
  <si>
    <t xml:space="preserve">Sports Shoes</t>
  </si>
  <si>
    <t xml:space="preserve">TXN0120</t>
  </si>
  <si>
    <t xml:space="preserve">Neha Joshi</t>
  </si>
  <si>
    <t xml:space="preserve">TXN0121</t>
  </si>
  <si>
    <t xml:space="preserve">2023-06-17</t>
  </si>
  <si>
    <t xml:space="preserve">TXN0122</t>
  </si>
  <si>
    <t xml:space="preserve">CUST1047</t>
  </si>
  <si>
    <t xml:space="preserve">TXN0123</t>
  </si>
  <si>
    <t xml:space="preserve">2023-01-27</t>
  </si>
  <si>
    <t xml:space="preserve">CUST1079</t>
  </si>
  <si>
    <t xml:space="preserve">TXN0124</t>
  </si>
  <si>
    <t xml:space="preserve">TXN0125</t>
  </si>
  <si>
    <t xml:space="preserve">2023-08-31</t>
  </si>
  <si>
    <t xml:space="preserve">2023-09-11</t>
  </si>
  <si>
    <t xml:space="preserve">TXN0126</t>
  </si>
  <si>
    <t xml:space="preserve">2023-09-30</t>
  </si>
  <si>
    <t xml:space="preserve">2023-10-10</t>
  </si>
  <si>
    <t xml:space="preserve">TXN0127</t>
  </si>
  <si>
    <t xml:space="preserve">TXN0128</t>
  </si>
  <si>
    <t xml:space="preserve">2023-12-25</t>
  </si>
  <si>
    <t xml:space="preserve">Ananya Shah</t>
  </si>
  <si>
    <t xml:space="preserve">CUST1008</t>
  </si>
  <si>
    <t xml:space="preserve">Men's Shirt</t>
  </si>
  <si>
    <t xml:space="preserve">TXN0129</t>
  </si>
  <si>
    <t xml:space="preserve">CUST1046</t>
  </si>
  <si>
    <t xml:space="preserve">TXN0130</t>
  </si>
  <si>
    <t xml:space="preserve">2023-11-09</t>
  </si>
  <si>
    <t xml:space="preserve">2023-11-19</t>
  </si>
  <si>
    <t xml:space="preserve">TXN0131</t>
  </si>
  <si>
    <t xml:space="preserve">TXN0132</t>
  </si>
  <si>
    <t xml:space="preserve">2023-12-09</t>
  </si>
  <si>
    <t xml:space="preserve">TXN0133</t>
  </si>
  <si>
    <t xml:space="preserve">TXN0134</t>
  </si>
  <si>
    <t xml:space="preserve">2023-12-11</t>
  </si>
  <si>
    <t xml:space="preserve">TXN0135</t>
  </si>
  <si>
    <t xml:space="preserve">2023-04-04</t>
  </si>
  <si>
    <t xml:space="preserve">TXN0136</t>
  </si>
  <si>
    <t xml:space="preserve">2023-10-06</t>
  </si>
  <si>
    <t xml:space="preserve">Saree</t>
  </si>
  <si>
    <t xml:space="preserve">TXN0137</t>
  </si>
  <si>
    <t xml:space="preserve">2023-06-01</t>
  </si>
  <si>
    <t xml:space="preserve">2023-06-13</t>
  </si>
  <si>
    <t xml:space="preserve">TXN0138</t>
  </si>
  <si>
    <t xml:space="preserve">2023-04-05</t>
  </si>
  <si>
    <t xml:space="preserve">CUST1075</t>
  </si>
  <si>
    <t xml:space="preserve">TXN0139</t>
  </si>
  <si>
    <t xml:space="preserve">2023-01-06</t>
  </si>
  <si>
    <t xml:space="preserve">TXN0140</t>
  </si>
  <si>
    <t xml:space="preserve">2023-07-20</t>
  </si>
  <si>
    <t xml:space="preserve">TXN0141</t>
  </si>
  <si>
    <t xml:space="preserve">2023-12-07</t>
  </si>
  <si>
    <t xml:space="preserve">TXN0142</t>
  </si>
  <si>
    <t xml:space="preserve">2023-10-21</t>
  </si>
  <si>
    <t xml:space="preserve">2023-11-01</t>
  </si>
  <si>
    <t xml:space="preserve">Divya Kumar</t>
  </si>
  <si>
    <t xml:space="preserve">TXN0143</t>
  </si>
  <si>
    <t xml:space="preserve">TXN0144</t>
  </si>
  <si>
    <t xml:space="preserve">2023-10-28</t>
  </si>
  <si>
    <t xml:space="preserve">TXN0145</t>
  </si>
  <si>
    <t xml:space="preserve">2023-03-11</t>
  </si>
  <si>
    <t xml:space="preserve">2023-03-26</t>
  </si>
  <si>
    <t xml:space="preserve">TXN0146</t>
  </si>
  <si>
    <t xml:space="preserve">2023-10-03</t>
  </si>
  <si>
    <t xml:space="preserve">2023-10-12</t>
  </si>
  <si>
    <t xml:space="preserve">TXN0147</t>
  </si>
  <si>
    <t xml:space="preserve">2023-09-01</t>
  </si>
  <si>
    <t xml:space="preserve">TXN0148</t>
  </si>
  <si>
    <t xml:space="preserve">2023-01-28</t>
  </si>
  <si>
    <t xml:space="preserve">CUST1038</t>
  </si>
  <si>
    <t xml:space="preserve">Cricket Bat</t>
  </si>
  <si>
    <t xml:space="preserve">TXN0149</t>
  </si>
  <si>
    <t xml:space="preserve">2023-06-25</t>
  </si>
  <si>
    <t xml:space="preserve">TXN0150</t>
  </si>
  <si>
    <t xml:space="preserve">TXN0151</t>
  </si>
  <si>
    <t xml:space="preserve">2023-06-12</t>
  </si>
  <si>
    <t xml:space="preserve">CUST1053</t>
  </si>
  <si>
    <t xml:space="preserve">TXN0152</t>
  </si>
  <si>
    <t xml:space="preserve">2023-10-04</t>
  </si>
  <si>
    <t xml:space="preserve">TXN0153</t>
  </si>
  <si>
    <t xml:space="preserve">2023-07-13</t>
  </si>
  <si>
    <t xml:space="preserve">2023-07-26</t>
  </si>
  <si>
    <t xml:space="preserve">CUST1027</t>
  </si>
  <si>
    <t xml:space="preserve">TXN0154</t>
  </si>
  <si>
    <t xml:space="preserve">2023-01-08</t>
  </si>
  <si>
    <t xml:space="preserve">2023-01-14</t>
  </si>
  <si>
    <t xml:space="preserve">TXN0155</t>
  </si>
  <si>
    <t xml:space="preserve">2023-11-29</t>
  </si>
  <si>
    <t xml:space="preserve">TXN0156</t>
  </si>
  <si>
    <t xml:space="preserve">2023-02-05</t>
  </si>
  <si>
    <t xml:space="preserve">TXN0157</t>
  </si>
  <si>
    <t xml:space="preserve">2023-07-14</t>
  </si>
  <si>
    <t xml:space="preserve">TXN0158</t>
  </si>
  <si>
    <t xml:space="preserve">2023-10-07</t>
  </si>
  <si>
    <t xml:space="preserve">2023-10-17</t>
  </si>
  <si>
    <t xml:space="preserve">Siddharth Chopra</t>
  </si>
  <si>
    <t xml:space="preserve">TXN0159</t>
  </si>
  <si>
    <t xml:space="preserve">2023-02-18</t>
  </si>
  <si>
    <t xml:space="preserve">TXN0160</t>
  </si>
  <si>
    <t xml:space="preserve">TXN0161</t>
  </si>
  <si>
    <t xml:space="preserve">2023-03-18</t>
  </si>
  <si>
    <t xml:space="preserve">TXN0162</t>
  </si>
  <si>
    <t xml:space="preserve">Divya Rao</t>
  </si>
  <si>
    <t xml:space="preserve">TXN0163</t>
  </si>
  <si>
    <t xml:space="preserve">TXN0164</t>
  </si>
  <si>
    <t xml:space="preserve">TXN0165</t>
  </si>
  <si>
    <t xml:space="preserve">CUST1013</t>
  </si>
  <si>
    <t xml:space="preserve">TXN0166</t>
  </si>
  <si>
    <t xml:space="preserve">2023-02-16</t>
  </si>
  <si>
    <t xml:space="preserve">TXN0167</t>
  </si>
  <si>
    <t xml:space="preserve">2023-04-06</t>
  </si>
  <si>
    <t xml:space="preserve">2023-04-19</t>
  </si>
  <si>
    <t xml:space="preserve">Ananya Joshi</t>
  </si>
  <si>
    <t xml:space="preserve">TXN0168</t>
  </si>
  <si>
    <t xml:space="preserve">2023-07-19</t>
  </si>
  <si>
    <t xml:space="preserve">TXN0169</t>
  </si>
  <si>
    <t xml:space="preserve">2023-08-18</t>
  </si>
  <si>
    <t xml:space="preserve">TXN0170</t>
  </si>
  <si>
    <t xml:space="preserve">2023-08-02</t>
  </si>
  <si>
    <t xml:space="preserve">TXN0171</t>
  </si>
  <si>
    <t xml:space="preserve">2023-03-27</t>
  </si>
  <si>
    <t xml:space="preserve">Raj Singh</t>
  </si>
  <si>
    <t xml:space="preserve">TXN0172</t>
  </si>
  <si>
    <t xml:space="preserve">Vivek Malhotra</t>
  </si>
  <si>
    <t xml:space="preserve">TXN0173</t>
  </si>
  <si>
    <t xml:space="preserve">TXN0174</t>
  </si>
  <si>
    <t xml:space="preserve">CUST1060</t>
  </si>
  <si>
    <t xml:space="preserve">TXN0175</t>
  </si>
  <si>
    <t xml:space="preserve">2023-08-28</t>
  </si>
  <si>
    <t xml:space="preserve">TXN0176</t>
  </si>
  <si>
    <t xml:space="preserve">2023-09-03</t>
  </si>
  <si>
    <t xml:space="preserve">2023-09-15</t>
  </si>
  <si>
    <t xml:space="preserve">Comic Book</t>
  </si>
  <si>
    <t xml:space="preserve">TXN0177</t>
  </si>
  <si>
    <t xml:space="preserve">2023-04-09</t>
  </si>
  <si>
    <t xml:space="preserve">TXN0178</t>
  </si>
  <si>
    <t xml:space="preserve">TXN0179</t>
  </si>
  <si>
    <t xml:space="preserve">2023-06-10</t>
  </si>
  <si>
    <t xml:space="preserve">TXN0180</t>
  </si>
  <si>
    <t xml:space="preserve">2024-01-02</t>
  </si>
  <si>
    <t xml:space="preserve">CUST1022</t>
  </si>
  <si>
    <t xml:space="preserve">TXN0181</t>
  </si>
  <si>
    <t xml:space="preserve">2023-09-22</t>
  </si>
  <si>
    <t xml:space="preserve">2023-09-27</t>
  </si>
  <si>
    <t xml:space="preserve">TXN0182</t>
  </si>
  <si>
    <t xml:space="preserve">2023-11-11</t>
  </si>
  <si>
    <t xml:space="preserve">2023-11-17</t>
  </si>
  <si>
    <t xml:space="preserve">TXN0183</t>
  </si>
  <si>
    <t xml:space="preserve">2023-04-11</t>
  </si>
  <si>
    <t xml:space="preserve">TXN0184</t>
  </si>
  <si>
    <t xml:space="preserve">2023-09-04</t>
  </si>
  <si>
    <t xml:space="preserve">TXN0185</t>
  </si>
  <si>
    <t xml:space="preserve">2023-09-28</t>
  </si>
  <si>
    <t xml:space="preserve">Karan Rao</t>
  </si>
  <si>
    <t xml:space="preserve">TXN0186</t>
  </si>
  <si>
    <t xml:space="preserve">2023-06-21</t>
  </si>
  <si>
    <t xml:space="preserve">TXN0187</t>
  </si>
  <si>
    <t xml:space="preserve">TXN0188</t>
  </si>
  <si>
    <t xml:space="preserve">2023-02-27</t>
  </si>
  <si>
    <t xml:space="preserve">TXN0189</t>
  </si>
  <si>
    <t xml:space="preserve">2023-06-05</t>
  </si>
  <si>
    <t xml:space="preserve">TXN0190</t>
  </si>
  <si>
    <t xml:space="preserve">2023-12-30</t>
  </si>
  <si>
    <t xml:space="preserve">2024-01-11</t>
  </si>
  <si>
    <t xml:space="preserve">TXN0191</t>
  </si>
  <si>
    <t xml:space="preserve">2023-03-28</t>
  </si>
  <si>
    <t xml:space="preserve">TXN0192</t>
  </si>
  <si>
    <t xml:space="preserve">TXN0193</t>
  </si>
  <si>
    <t xml:space="preserve">CUST1001</t>
  </si>
  <si>
    <t xml:space="preserve">TXN0194</t>
  </si>
  <si>
    <t xml:space="preserve">TXN0195</t>
  </si>
  <si>
    <t xml:space="preserve">2023-10-23</t>
  </si>
  <si>
    <t xml:space="preserve">TXN0196</t>
  </si>
  <si>
    <t xml:space="preserve">2023-01-10</t>
  </si>
  <si>
    <t xml:space="preserve">TXN0197</t>
  </si>
  <si>
    <t xml:space="preserve">CUST1017</t>
  </si>
  <si>
    <t xml:space="preserve">TXN0198</t>
  </si>
  <si>
    <t xml:space="preserve">CUST1030</t>
  </si>
  <si>
    <t xml:space="preserve">TXN0199</t>
  </si>
  <si>
    <t xml:space="preserve">2023-02-22</t>
  </si>
  <si>
    <t xml:space="preserve">2023-02-26</t>
  </si>
  <si>
    <t xml:space="preserve">CUST1068</t>
  </si>
  <si>
    <t xml:space="preserve">TXN0200</t>
  </si>
  <si>
    <t xml:space="preserve">TXN0201</t>
  </si>
  <si>
    <t xml:space="preserve">2023-03-05</t>
  </si>
  <si>
    <t xml:space="preserve">CUST1077</t>
  </si>
  <si>
    <t xml:space="preserve">TXN0202</t>
  </si>
  <si>
    <t xml:space="preserve">CUST1007</t>
  </si>
  <si>
    <t xml:space="preserve">TXN0203</t>
  </si>
  <si>
    <t xml:space="preserve">2023-07-17</t>
  </si>
  <si>
    <t xml:space="preserve">2023-07-21</t>
  </si>
  <si>
    <t xml:space="preserve">TXN0204</t>
  </si>
  <si>
    <t xml:space="preserve">TXN0205</t>
  </si>
  <si>
    <t xml:space="preserve">TXN0206</t>
  </si>
  <si>
    <t xml:space="preserve">TXN0207</t>
  </si>
  <si>
    <t xml:space="preserve">CUST1067</t>
  </si>
  <si>
    <t xml:space="preserve">TXN0208</t>
  </si>
  <si>
    <t xml:space="preserve">CUST1074</t>
  </si>
  <si>
    <t xml:space="preserve">TXN0209</t>
  </si>
  <si>
    <t xml:space="preserve">2023-09-12</t>
  </si>
  <si>
    <t xml:space="preserve">TXN0210</t>
  </si>
  <si>
    <t xml:space="preserve">2023-01-02</t>
  </si>
  <si>
    <t xml:space="preserve">2023-01-05</t>
  </si>
  <si>
    <t xml:space="preserve">TXN0211</t>
  </si>
  <si>
    <t xml:space="preserve">2023-06-20</t>
  </si>
  <si>
    <t xml:space="preserve">TXN0212</t>
  </si>
  <si>
    <t xml:space="preserve">2023-06-09</t>
  </si>
  <si>
    <t xml:space="preserve">Router</t>
  </si>
  <si>
    <t xml:space="preserve">TXN0213</t>
  </si>
  <si>
    <t xml:space="preserve">Nisha Bose</t>
  </si>
  <si>
    <t xml:space="preserve">TXN0214</t>
  </si>
  <si>
    <t xml:space="preserve">TXN0215</t>
  </si>
  <si>
    <t xml:space="preserve">TXN0216</t>
  </si>
  <si>
    <t xml:space="preserve">2023-05-22</t>
  </si>
  <si>
    <t xml:space="preserve">TXN0217</t>
  </si>
  <si>
    <t xml:space="preserve">TXN0218</t>
  </si>
  <si>
    <t xml:space="preserve">2024-01-10</t>
  </si>
  <si>
    <t xml:space="preserve">TXN0219</t>
  </si>
  <si>
    <t xml:space="preserve">2023-05-19</t>
  </si>
  <si>
    <t xml:space="preserve">TXN0220</t>
  </si>
  <si>
    <t xml:space="preserve">2023-03-08</t>
  </si>
  <si>
    <t xml:space="preserve">2023-03-14</t>
  </si>
  <si>
    <t xml:space="preserve">TXN0221</t>
  </si>
  <si>
    <t xml:space="preserve">2023-06-23</t>
  </si>
  <si>
    <t xml:space="preserve">TXN0222</t>
  </si>
  <si>
    <t xml:space="preserve">2023-04-07</t>
  </si>
  <si>
    <t xml:space="preserve">TXN0223</t>
  </si>
  <si>
    <t xml:space="preserve">2023-10-09</t>
  </si>
  <si>
    <t xml:space="preserve">2023-10-19</t>
  </si>
  <si>
    <t xml:space="preserve">TXN0224</t>
  </si>
  <si>
    <t xml:space="preserve">2023-07-03</t>
  </si>
  <si>
    <t xml:space="preserve">TXN0225</t>
  </si>
  <si>
    <t xml:space="preserve">2023-01-30</t>
  </si>
  <si>
    <t xml:space="preserve">TXN0226</t>
  </si>
  <si>
    <t xml:space="preserve">Aarav Joshi</t>
  </si>
  <si>
    <t xml:space="preserve">TXN0227</t>
  </si>
  <si>
    <t xml:space="preserve">Aarav Gupta</t>
  </si>
  <si>
    <t xml:space="preserve">TXN0228</t>
  </si>
  <si>
    <t xml:space="preserve">TXN0229</t>
  </si>
  <si>
    <t xml:space="preserve">TXN0230</t>
  </si>
  <si>
    <t xml:space="preserve">TXN0231</t>
  </si>
  <si>
    <t xml:space="preserve">2023-08-04</t>
  </si>
  <si>
    <t xml:space="preserve">TXN0232</t>
  </si>
  <si>
    <t xml:space="preserve">TXN0233</t>
  </si>
  <si>
    <t xml:space="preserve">2023-02-03</t>
  </si>
  <si>
    <t xml:space="preserve">TXN0234</t>
  </si>
  <si>
    <t xml:space="preserve">TXN0235</t>
  </si>
  <si>
    <t xml:space="preserve">TXN0236</t>
  </si>
  <si>
    <t xml:space="preserve">2023-04-08</t>
  </si>
  <si>
    <t xml:space="preserve">TXN0237</t>
  </si>
  <si>
    <t xml:space="preserve">2023-08-11</t>
  </si>
  <si>
    <t xml:space="preserve">TXN0238</t>
  </si>
  <si>
    <t xml:space="preserve">2023-09-21</t>
  </si>
  <si>
    <t xml:space="preserve">TXN0239</t>
  </si>
  <si>
    <t xml:space="preserve">2023-04-26</t>
  </si>
  <si>
    <t xml:space="preserve">TXN0240</t>
  </si>
  <si>
    <t xml:space="preserve">2023-08-14</t>
  </si>
  <si>
    <t xml:space="preserve">TXN0241</t>
  </si>
  <si>
    <t xml:space="preserve">2023-05-04</t>
  </si>
  <si>
    <t xml:space="preserve">TXN0242</t>
  </si>
  <si>
    <t xml:space="preserve">TXN0243</t>
  </si>
  <si>
    <t xml:space="preserve">2023-10-30</t>
  </si>
  <si>
    <t xml:space="preserve">TXN0244</t>
  </si>
  <si>
    <t xml:space="preserve">CUST1043</t>
  </si>
  <si>
    <t xml:space="preserve">TXN0245</t>
  </si>
  <si>
    <t xml:space="preserve">2023-02-09</t>
  </si>
  <si>
    <t xml:space="preserve">TXN0246</t>
  </si>
  <si>
    <t xml:space="preserve">TXN0247</t>
  </si>
  <si>
    <t xml:space="preserve">TXN0248</t>
  </si>
  <si>
    <t xml:space="preserve">2023-05-08</t>
  </si>
  <si>
    <t xml:space="preserve">TXN0249</t>
  </si>
  <si>
    <t xml:space="preserve">TXN0250</t>
  </si>
  <si>
    <t xml:space="preserve">TXN0251</t>
  </si>
  <si>
    <t xml:space="preserve">TXN0252</t>
  </si>
  <si>
    <t xml:space="preserve">2023-11-25</t>
  </si>
  <si>
    <t xml:space="preserve">TXN0253</t>
  </si>
  <si>
    <t xml:space="preserve">TXN0254</t>
  </si>
  <si>
    <t xml:space="preserve">2023-12-20</t>
  </si>
  <si>
    <t xml:space="preserve">TXN0255</t>
  </si>
  <si>
    <t xml:space="preserve">2023-11-23</t>
  </si>
  <si>
    <t xml:space="preserve">2023-12-08</t>
  </si>
  <si>
    <t xml:space="preserve">PR Final Project – Analysis Sheet</t>
  </si>
  <si>
    <t xml:space="preserve">📅  DATE &amp; TIME FUNCTIONS</t>
  </si>
  <si>
    <t xml:space="preserve">TODAY()</t>
  </si>
  <si>
    <t xml:space="preserve">Current Date</t>
  </si>
  <si>
    <t xml:space="preserve">NOW()</t>
  </si>
  <si>
    <t xml:space="preserve">Current Date &amp; Time</t>
  </si>
  <si>
    <t xml:space="preserve">EOMONTH(Today,0)</t>
  </si>
  <si>
    <t xml:space="preserve">End of Current Month</t>
  </si>
  <si>
    <t xml:space="preserve">EOMONTH(Today,-1)</t>
  </si>
  <si>
    <t xml:space="preserve">End of Last Month</t>
  </si>
  <si>
    <t xml:space="preserve">Days Since First Order</t>
  </si>
  <si>
    <t xml:space="preserve">Days</t>
  </si>
  <si>
    <t xml:space="preserve">Months Covered</t>
  </si>
  <si>
    <t xml:space="preserve">Months</t>
  </si>
  <si>
    <t xml:space="preserve">Years Covered</t>
  </si>
  <si>
    <t xml:space="preserve">Years</t>
  </si>
  <si>
    <t xml:space="preserve">Avg Delivery Days (formula)</t>
  </si>
  <si>
    <t xml:space="preserve">📊  REVENUE SUMMARY BY GROUP</t>
  </si>
  <si>
    <t xml:space="preserve">Group By</t>
  </si>
  <si>
    <t xml:space="preserve">Category/Value</t>
  </si>
  <si>
    <t xml:space="preserve">Revenue (₹)</t>
  </si>
  <si>
    <t xml:space="preserve">Orders</t>
  </si>
  <si>
    <t xml:space="preserve">Avg Revenue</t>
  </si>
  <si>
    <t xml:space="preserve">% Share</t>
  </si>
  <si>
    <t xml:space="preserve">Category</t>
  </si>
  <si>
    <t xml:space="preserve">🔡  TEXT FUNCTIONS &amp; ABBREVIATIONS</t>
  </si>
  <si>
    <t xml:space="preserve">Customer Name (sample)</t>
  </si>
  <si>
    <t xml:space="preserve">Full Name</t>
  </si>
  <si>
    <t xml:space="preserve">LEFT - First Name</t>
  </si>
  <si>
    <t xml:space="preserve">First Name</t>
  </si>
  <si>
    <t xml:space="preserve">RIGHT - Last Name</t>
  </si>
  <si>
    <t xml:space="preserve">Last Name</t>
  </si>
  <si>
    <t xml:space="preserve">MID - Middle chars</t>
  </si>
  <si>
    <t xml:space="preserve">Chars 3-6</t>
  </si>
  <si>
    <t xml:space="preserve">UPPER abbrev</t>
  </si>
  <si>
    <t xml:space="preserve">Initials</t>
  </si>
  <si>
    <t xml:space="preserve">CONCAT ID+Name</t>
  </si>
  <si>
    <t xml:space="preserve">Short Code</t>
  </si>
  <si>
    <t xml:space="preserve">TEXT format date</t>
  </si>
  <si>
    <t xml:space="preserve">Formatted Date</t>
  </si>
  <si>
    <t xml:space="preserve">Category Abbrev</t>
  </si>
  <si>
    <t xml:space="preserve">Cat-ID Code</t>
  </si>
  <si>
    <t xml:space="preserve">🔍  LOOKUP &amp; MATCHING FUNCTIONS</t>
  </si>
  <si>
    <t xml:space="preserve">XLOOKUP – TXN0001 Details</t>
  </si>
  <si>
    <t xml:space="preserve">XLOOKUP – TXN0001 Revenue</t>
  </si>
  <si>
    <t xml:space="preserve">Most Frequent Product</t>
  </si>
  <si>
    <t xml:space="preserve">Top Product</t>
  </si>
  <si>
    <t xml:space="preserve">Most Frequent Customer</t>
  </si>
  <si>
    <t xml:space="preserve">Top Customer</t>
  </si>
  <si>
    <t xml:space="preserve">Count Unique Products</t>
  </si>
  <si>
    <t xml:space="preserve">Unique Count</t>
  </si>
  <si>
    <t xml:space="preserve">Max Revenue City</t>
  </si>
  <si>
    <t xml:space="preserve">Best City</t>
  </si>
  <si>
    <t xml:space="preserve">👑  HIGH-VALUE CUSTOMERS (Top 10 by Revenue)</t>
  </si>
  <si>
    <t xml:space="preserve">Rank</t>
  </si>
  <si>
    <t xml:space="preserve">Total Revenue</t>
  </si>
  <si>
    <t xml:space="preserve">Total Orders</t>
  </si>
  <si>
    <t xml:space="preserve">Avg Order</t>
  </si>
  <si>
    <t xml:space="preserve">Status</t>
  </si>
  <si>
    <t xml:space="preserve">🎯  WHAT-IF ANALYSIS – Goal Seek &amp; Scenario Manager</t>
  </si>
  <si>
    <t xml:space="preserve">GOAL SEEK SETUP</t>
  </si>
  <si>
    <t xml:space="preserve">Current Avg Revenue/Order (₹)</t>
  </si>
  <si>
    <t xml:space="preserve">Target Total Revenue (₹)</t>
  </si>
  <si>
    <t xml:space="preserve">500000</t>
  </si>
  <si>
    <t xml:space="preserve">Required Orders for Target</t>
  </si>
  <si>
    <t xml:space="preserve">Current Total Revenue</t>
  </si>
  <si>
    <t xml:space="preserve">Gap to Target (₹)</t>
  </si>
  <si>
    <t xml:space="preserve">Avg Discount Applied</t>
  </si>
  <si>
    <t xml:space="preserve">Revenue if 0% Discount</t>
  </si>
  <si>
    <t xml:space="preserve">Revenue Uplift Potential</t>
  </si>
  <si>
    <t xml:space="preserve">📈  LINEAR REGRESSION – Revenue vs Profit</t>
  </si>
  <si>
    <t xml:space="preserve">Metric</t>
  </si>
  <si>
    <t xml:space="preserve">Value</t>
  </si>
  <si>
    <t xml:space="preserve">Unit/Note</t>
  </si>
  <si>
    <t xml:space="preserve">Observations (n)</t>
  </si>
  <si>
    <t xml:space="preserve">Count</t>
  </si>
  <si>
    <t xml:space="preserve">Sum of Revenue</t>
  </si>
  <si>
    <t xml:space="preserve">₹</t>
  </si>
  <si>
    <t xml:space="preserve">Sum of Profit</t>
  </si>
  <si>
    <t xml:space="preserve">Slope (β1) – Rev→Profit</t>
  </si>
  <si>
    <t xml:space="preserve">Coefficient</t>
  </si>
  <si>
    <t xml:space="preserve">Intercept (β0)</t>
  </si>
  <si>
    <t xml:space="preserve">R-Squared (R²)</t>
  </si>
  <si>
    <t xml:space="preserve">Fit Quality</t>
  </si>
  <si>
    <t xml:space="preserve">Correlation Coefficient (r)</t>
  </si>
  <si>
    <t xml:space="preserve">Strength</t>
  </si>
  <si>
    <t xml:space="preserve">Predicted Profit @ ₹5000 Rev</t>
  </si>
  <si>
    <t xml:space="preserve">Interpretation</t>
  </si>
  <si>
    <t xml:space="preserve">Strong positive linear relationship – Revenue is a reliable predictor of Profit</t>
  </si>
  <si>
    <t xml:space="preserve">PR Final Project – Pivot Table Analysis (Formula-Based)</t>
  </si>
  <si>
    <t xml:space="preserve">📍 Sales by Region</t>
  </si>
  <si>
    <t xml:space="preserve">🏷️ Sales by Product Category</t>
  </si>
  <si>
    <t xml:space="preserve">Total Profit</t>
  </si>
  <si>
    <t xml:space="preserve">Profit Margin %</t>
  </si>
  <si>
    <t xml:space="preserve">Avg Rev/Order</t>
  </si>
  <si>
    <t xml:space="preserve">TOTAL</t>
  </si>
  <si>
    <t xml:space="preserve">📅 Monthly Revenue Trend 2023</t>
  </si>
  <si>
    <t xml:space="preserve">💳 Payment Mode Analysis</t>
  </si>
  <si>
    <t xml:space="preserve">Month</t>
  </si>
  <si>
    <t xml:space="preserve">Growth %</t>
  </si>
  <si>
    <t xml:space="preserve">Cum. Revenue</t>
  </si>
  <si>
    <t xml:space="preserve">Avg/Order</t>
  </si>
  <si>
    <t xml:space="preserve">Avg Value</t>
  </si>
  <si>
    <t xml:space="preserve">Jan</t>
  </si>
  <si>
    <t xml:space="preserve">N/A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</si>
  <si>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</si>
  <si>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</si>
  <si>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</si>
  <si>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</si>
  <si>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</si>
  <si>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</si>
  <si>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</si>
  <si>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</si>
  <si>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</si>
  <si>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</si>
  <si>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</si>
  <si>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👤 Top Customers by Revenue</t>
  </si>
  <si>
    <t xml:space="preserve">🏆 Salesperson Performance</t>
  </si>
  <si>
    <t xml:space="preserve">Margin%</t>
  </si>
  <si>
    <t xml:space="preserve">PR Final Project – Charts &amp; Visualizations</t>
  </si>
  <si>
    <t xml:space="preserve">Revenue by Region</t>
  </si>
  <si>
    <t xml:space="preserve">Monthly Revenue Trend</t>
  </si>
  <si>
    <t xml:space="preserve">Revenue by Category</t>
  </si>
  <si>
    <t xml:space="preserve">Revenue by Payment Mode</t>
  </si>
  <si>
    <t xml:space="preserve">📊  PR FINAL PROJECT – DATA INTELLIGENCE DASHBOARD</t>
  </si>
  <si>
    <t xml:space="preserve">💰 Total Revenue</t>
  </si>
  <si>
    <t xml:space="preserve">📈 Total Profit</t>
  </si>
  <si>
    <t xml:space="preserve">🛒 Total Orders</t>
  </si>
  <si>
    <t xml:space="preserve">🏆 Top Region</t>
  </si>
  <si>
    <t xml:space="preserve">⭐ Top Category</t>
  </si>
  <si>
    <t xml:space="preserve">💡 Avg Order Val</t>
  </si>
  <si>
    <t xml:space="preserve">📊 Profit Margin</t>
  </si>
  <si>
    <t xml:space="preserve">↑ All Time</t>
  </si>
  <si>
    <t xml:space="preserve">↑ Growing</t>
  </si>
  <si>
    <t xml:space="preserve">Transactions</t>
  </si>
  <si>
    <t xml:space="preserve">Best Performer</t>
  </si>
  <si>
    <t xml:space="preserve">Highest Revenue</t>
  </si>
  <si>
    <t xml:space="preserve">Per Transaction</t>
  </si>
  <si>
    <t xml:space="preserve">Overall %</t>
  </si>
  <si>
    <t xml:space="preserve">📍 Revenue by Region</t>
  </si>
  <si>
    <t xml:space="preserve">🏷️ Revenue by Category</t>
  </si>
  <si>
    <t xml:space="preserve">👑 Top 5 Customers</t>
  </si>
  <si>
    <t xml:space="preserve">Profit (₹)</t>
  </si>
  <si>
    <t xml:space="preserve">Margin</t>
  </si>
  <si>
    <t xml:space="preserve">Trend</t>
  </si>
  <si>
    <t xml:space="preserve">🎯 KPI Performance Indicators</t>
  </si>
  <si>
    <t xml:space="preserve">KPI Name</t>
  </si>
  <si>
    <t xml:space="preserve">Actual</t>
  </si>
  <si>
    <t xml:space="preserve">Target</t>
  </si>
  <si>
    <t xml:space="preserve">Icon</t>
  </si>
  <si>
    <t xml:space="preserve">Revenue vs Target</t>
  </si>
  <si>
    <t xml:space="preserve">Profit Margin</t>
  </si>
  <si>
    <t xml:space="preserve">0.35</t>
  </si>
  <si>
    <t xml:space="preserve">Orders Completion</t>
  </si>
  <si>
    <t xml:space="preserve">200</t>
  </si>
  <si>
    <t xml:space="preserve">Avg Order Value</t>
  </si>
  <si>
    <t xml:space="preserve">300</t>
  </si>
  <si>
    <t xml:space="preserve">Discount Rate</t>
  </si>
  <si>
    <t xml:space="preserve">0.1</t>
  </si>
  <si>
    <t xml:space="preserve">PR Final Project – Business Insights &amp; Storytelling Report</t>
  </si>
  <si>
    <t xml:space="preserve">📋 1. EXECUTIVE SUMMARY</t>
  </si>
  <si>
    <t xml:space="preserve">Total Revenue Generated (₹)</t>
  </si>
  <si>
    <t xml:space="preserve">Sum of all transaction revenues across 2023</t>
  </si>
  <si>
    <t xml:space="preserve">Total Profit Earned (₹)</t>
  </si>
  <si>
    <t xml:space="preserve">Net profit after cost deduction</t>
  </si>
  <si>
    <t xml:space="preserve">Overall Profit Margin</t>
  </si>
  <si>
    <t xml:space="preserve">Profit as % of total revenue</t>
  </si>
  <si>
    <t xml:space="preserve">Total Transactions</t>
  </si>
  <si>
    <t xml:space="preserve">Number of unique sales orders processed</t>
  </si>
  <si>
    <t xml:space="preserve">Unique Customers</t>
  </si>
  <si>
    <t xml:space="preserve">Distinct customer count based on name match</t>
  </si>
  <si>
    <t xml:space="preserve">Average Order Value (₹)</t>
  </si>
  <si>
    <t xml:space="preserve">Revenue per transaction on average</t>
  </si>
  <si>
    <t xml:space="preserve">Average Discount Applied</t>
  </si>
  <si>
    <t xml:space="preserve">Mean discount % across all orders</t>
  </si>
  <si>
    <t xml:space="preserve">Average Delivery Days</t>
  </si>
  <si>
    <t xml:space="preserve">Average days from order to delivery</t>
  </si>
  <si>
    <t xml:space="preserve">🏷️ 2. PRODUCT &amp; CATEGORY PERFORMANCE</t>
  </si>
  <si>
    <t xml:space="preserve">Highest Revenue Category</t>
  </si>
  <si>
    <t xml:space="preserve">Category contributing maximum revenue</t>
  </si>
  <si>
    <t xml:space="preserve">Lowest Revenue Category</t>
  </si>
  <si>
    <t xml:space="preserve">Category with lowest total revenue contribution</t>
  </si>
  <si>
    <t xml:space="preserve">Most Purchased Product</t>
  </si>
  <si>
    <t xml:space="preserve">Product appearing most frequently in orders</t>
  </si>
  <si>
    <t xml:space="preserve">Electronics Revenue</t>
  </si>
  <si>
    <t xml:space="preserve">Total revenue from Electronics category</t>
  </si>
  <si>
    <t xml:space="preserve">Beauty Profit Margin</t>
  </si>
  <si>
    <t xml:space="preserve">Beauty has highest margins – strong profitability driver</t>
  </si>
  <si>
    <t xml:space="preserve">Books Avg Order Size</t>
  </si>
  <si>
    <t xml:space="preserve">Lower value but high frequency</t>
  </si>
  <si>
    <t xml:space="preserve">📍 3. REGIONAL PERFORMANCE ANALYSIS</t>
  </si>
  <si>
    <t xml:space="preserve">North Region Revenue</t>
  </si>
  <si>
    <t xml:space="preserve">Total revenue contributed by North region customers</t>
  </si>
  <si>
    <t xml:space="preserve">South Region Revenue</t>
  </si>
  <si>
    <t xml:space="preserve">Total revenue contributed by South region customers</t>
  </si>
  <si>
    <t xml:space="preserve">East Region Revenue</t>
  </si>
  <si>
    <t xml:space="preserve">Total revenue contributed by East region customers</t>
  </si>
  <si>
    <t xml:space="preserve">West Region Revenue</t>
  </si>
  <si>
    <t xml:space="preserve">Total revenue contributed by West region customers</t>
  </si>
  <si>
    <t xml:space="preserve">Best Performing Region</t>
  </si>
  <si>
    <t xml:space="preserve">Region with highest cumulative revenue</t>
  </si>
  <si>
    <t xml:space="preserve">Weakest Region</t>
  </si>
  <si>
    <t xml:space="preserve">Region needing improvement and focus</t>
  </si>
  <si>
    <t xml:space="preserve">Regional Revenue Variance (₹)</t>
  </si>
  <si>
    <t xml:space="preserve">Gap between best and worst region – signals inequality</t>
  </si>
  <si>
    <t xml:space="preserve">👤 4. CUSTOMER BEHAVIOR ANALYSIS</t>
  </si>
  <si>
    <t xml:space="preserve">Top Customer (By Revenue)</t>
  </si>
  <si>
    <t xml:space="preserve">Single highest revenue-generating customer</t>
  </si>
  <si>
    <t xml:space="preserve">Customer with highest order frequency – loyal buyer</t>
  </si>
  <si>
    <t xml:space="preserve">Male Customer Revenue</t>
  </si>
  <si>
    <t xml:space="preserve">Revenue from male customers</t>
  </si>
  <si>
    <t xml:space="preserve">Female Customer Revenue</t>
  </si>
  <si>
    <t xml:space="preserve">Revenue from female customers</t>
  </si>
  <si>
    <t xml:space="preserve">Top Payment Mode</t>
  </si>
  <si>
    <t xml:space="preserve">Most preferred payment method by customers</t>
  </si>
  <si>
    <t xml:space="preserve">High Discount Orders (&gt;15%)</t>
  </si>
  <si>
    <t xml:space="preserve">Orders with aggressive discounting – margin erosion risk</t>
  </si>
  <si>
    <t xml:space="preserve">💰 5. PROFITABILITY INSIGHTS</t>
  </si>
  <si>
    <t xml:space="preserve">Total Profit (₹)</t>
  </si>
  <si>
    <t xml:space="preserve">Gross profit across all transactions</t>
  </si>
  <si>
    <t xml:space="preserve">Highest Profit Transaction</t>
  </si>
  <si>
    <t xml:space="preserve">Single transaction with maximum profit</t>
  </si>
  <si>
    <t xml:space="preserve">Lowest Profit Transaction</t>
  </si>
  <si>
    <t xml:space="preserve">Lowest profit – review for pricing issues</t>
  </si>
  <si>
    <t xml:space="preserve">Avg Profit per Order</t>
  </si>
  <si>
    <t xml:space="preserve">Mean profit generated per transaction</t>
  </si>
  <si>
    <t xml:space="preserve">Revenue without Discounts</t>
  </si>
  <si>
    <t xml:space="preserve">Hypothetical revenue if no discounts were applied</t>
  </si>
  <si>
    <t xml:space="preserve">Revenue Lost to Discounts</t>
  </si>
  <si>
    <t xml:space="preserve">Revenue foregone due to discount strategy</t>
  </si>
  <si>
    <t xml:space="preserve">🎯 6. STRATEGIC RECOMMENDATIONS &amp; STORYTELLING</t>
  </si>
  <si>
    <t xml:space="preserve">Focus on Electronics</t>
  </si>
  <si>
    <t xml:space="preserve">📌 Recommendation 1</t>
  </si>
  <si>
    <t xml:space="preserve">Electronics delivers highest revenue – invest in wider product range, faster delivery, and exclusive deals to drive category leadership.</t>
  </si>
  <si>
    <t xml:space="preserve">Expand in Weak Regions</t>
  </si>
  <si>
    <t xml:space="preserve">📌 Recommendation 2</t>
  </si>
  <si>
    <t xml:space="preserve">Identify the bottom-performing region and launch targeted promotions, loyalty programs, and regional salesperson incentives.</t>
  </si>
  <si>
    <t xml:space="preserve">Reduce Discount Rate</t>
  </si>
  <si>
    <t xml:space="preserve">📌 Recommendation 3</t>
  </si>
  <si>
    <t xml:space="preserve">With avg discount eroding revenue, implement value-based pricing and loyalty tiers instead of blanket discounts.</t>
  </si>
  <si>
    <t xml:space="preserve">Promote Beauty &amp; Books</t>
  </si>
  <si>
    <t xml:space="preserve">📌 Recommendation 4</t>
  </si>
  <si>
    <t xml:space="preserve">These categories have superior margins. Bundling with high-volume low-margin categories can boost blended margins.</t>
  </si>
  <si>
    <t xml:space="preserve">Retain VIP Customers</t>
  </si>
  <si>
    <t xml:space="preserve">📌 Recommendation 5</t>
  </si>
  <si>
    <t xml:space="preserve">Top 10 customers drive disproportionate revenue. Implement personalized outreach, early access offers, and account managers.</t>
  </si>
  <si>
    <t xml:space="preserve">Optimize Delivery Time</t>
  </si>
  <si>
    <t xml:space="preserve">📌 Recommendation 6</t>
  </si>
  <si>
    <t xml:space="preserve">Avg delivery &gt;7 days risks customer satisfaction. Partner with 3PL providers in key metro areas to cut delivery to 3-5 days.</t>
  </si>
  <si>
    <t xml:space="preserve">Leverage Digital Payments</t>
  </si>
  <si>
    <t xml:space="preserve">📌 Recommendation 7</t>
  </si>
  <si>
    <t xml:space="preserve">UPI and Credit Card dominate – offer cashback/reward integrations to increase digital payment adoption and reduce COD risk.</t>
  </si>
  <si>
    <t xml:space="preserve">Seasonal Campaign Planning</t>
  </si>
  <si>
    <t xml:space="preserve">📌 Recommendation 8</t>
  </si>
  <si>
    <t xml:space="preserve">Monthly revenue shows variance – plan Q4 festival campaigns (Oct-Dec) and back-to-school drives (Jun-Jul) for revenue spikes.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</si>
</sst>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0%"/>
    <numFmt numFmtId="167" formatCode="dd\-mmm\-yyyy"/>
    <numFmt numFmtId="168" formatCode="General"/>
    <numFmt numFmtId="169" formatCode="0.00\%"/>
    <numFmt numFmtId="170" formatCode="0"/>
    <numFmt numFmtId="171" formatCode="0.0%"/>
    <numFmt numFmtId="172" formatCode="#,##0.0000"/>
    <numFmt numFmtId="173" formatCode="0.0\%"/>
    <numFmt numFmtId="174" formatCode="#,##0"/>
    <numFmt numFmtId="175" formatCode="@"/>
    <numFmt numFmtId="176" formatCode="0.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70AD47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70AD47"/>
      <name val="Arial"/>
      <family val="0"/>
      <charset val="1"/>
    </font>
    <font>
      <b val="true"/>
      <sz val="18"/>
      <color rgb="FF4472C4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7030A0"/>
      <name val="Arial"/>
      <family val="0"/>
      <charset val="1"/>
    </font>
    <font>
      <b val="true"/>
      <sz val="18"/>
      <color rgb="FFFFC000"/>
      <name val="Arial"/>
      <family val="0"/>
      <charset val="1"/>
    </font>
    <font>
      <i val="true"/>
      <sz val="9"/>
      <color rgb="FF2E75B6"/>
      <name val="Arial"/>
      <family val="0"/>
      <charset val="1"/>
    </font>
    <font>
      <i val="true"/>
      <sz val="9"/>
      <color rgb="FF70AD47"/>
      <name val="Arial"/>
      <family val="0"/>
      <charset val="1"/>
    </font>
    <font>
      <i val="true"/>
      <sz val="9"/>
      <color rgb="FF4472C4"/>
      <name val="Arial"/>
      <family val="0"/>
      <charset val="1"/>
    </font>
    <font>
      <i val="true"/>
      <sz val="9"/>
      <color rgb="FFED7D31"/>
      <name val="Arial"/>
      <family val="0"/>
      <charset val="1"/>
    </font>
    <font>
      <i val="true"/>
      <sz val="9"/>
      <color rgb="FF7030A0"/>
      <name val="Arial"/>
      <family val="0"/>
      <charset val="1"/>
    </font>
    <font>
      <i val="true"/>
      <sz val="9"/>
      <color rgb="FFFFC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70AD47"/>
      <name val="Arial"/>
      <family val="0"/>
      <charset val="1"/>
    </font>
    <font>
      <sz val="9"/>
      <color rgb="FFFFC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i val="true"/>
      <sz val="10"/>
      <color rgb="FF40404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70AD47"/>
        <bgColor rgb="FF9BBB59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7030A0"/>
        <bgColor rgb="FF800080"/>
      </patternFill>
    </fill>
    <fill>
      <patternFill patternType="solid">
        <fgColor rgb="FFD9D9D9"/>
        <bgColor rgb="FFE8D5F5"/>
      </patternFill>
    </fill>
    <fill>
      <patternFill patternType="solid">
        <fgColor rgb="FFED7D31"/>
        <bgColor rgb="FFF79646"/>
      </patternFill>
    </fill>
    <fill>
      <patternFill patternType="solid">
        <fgColor rgb="FFC55A11"/>
        <bgColor rgb="FFC0504D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79646"/>
      </patternFill>
    </fill>
    <fill>
      <patternFill patternType="solid">
        <fgColor rgb="FFE8D5F5"/>
        <bgColor rgb="FFD9D9D9"/>
      </patternFill>
    </fill>
    <fill>
      <patternFill patternType="solid">
        <fgColor rgb="FFC0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2E75B6"/>
      </left>
      <right/>
      <top style="medium">
        <color rgb="FF2E75B6"/>
      </top>
      <bottom/>
      <diagonal/>
    </border>
    <border diagonalUp="false" diagonalDown="false">
      <left style="medium">
        <color rgb="FF70AD47"/>
      </left>
      <right/>
      <top style="medium">
        <color rgb="FF70AD47"/>
      </top>
      <bottom/>
      <diagonal/>
    </border>
    <border diagonalUp="false" diagonalDown="false">
      <left style="medium">
        <color rgb="FF4472C4"/>
      </left>
      <right/>
      <top style="medium">
        <color rgb="FF4472C4"/>
      </top>
      <bottom/>
      <diagonal/>
    </border>
    <border diagonalUp="false" diagonalDown="false">
      <left style="medium">
        <color rgb="FFED7D31"/>
      </left>
      <right/>
      <top style="medium">
        <color rgb="FFED7D31"/>
      </top>
      <bottom/>
      <diagonal/>
    </border>
    <border diagonalUp="false" diagonalDown="false">
      <left style="medium">
        <color rgb="FF7030A0"/>
      </left>
      <right/>
      <top style="medium">
        <color rgb="FF7030A0"/>
      </top>
      <bottom/>
      <diagonal/>
    </border>
    <border diagonalUp="false" diagonalDown="false">
      <left style="medium">
        <color rgb="FFFFC000"/>
      </left>
      <right/>
      <top style="medium">
        <color rgb="FFFFC000"/>
      </top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/>
      <right/>
      <top/>
      <bottom style="medium">
        <color rgb="FF70AD47"/>
      </bottom>
      <diagonal/>
    </border>
    <border diagonalUp="false" diagonalDown="false">
      <left/>
      <right/>
      <top/>
      <bottom style="medium">
        <color rgb="FF4472C4"/>
      </bottom>
      <diagonal/>
    </border>
    <border diagonalUp="false" diagonalDown="false">
      <left/>
      <right/>
      <top/>
      <bottom style="medium">
        <color rgb="FFED7D31"/>
      </bottom>
      <diagonal/>
    </border>
    <border diagonalUp="false" diagonalDown="false">
      <left/>
      <right/>
      <top/>
      <bottom style="medium">
        <color rgb="FF7030A0"/>
      </bottom>
      <diagonal/>
    </border>
    <border diagonalUp="false" diagonalDown="false">
      <left/>
      <right/>
      <top/>
      <bottom style="medium">
        <color rgb="FFFFC000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12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1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1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9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5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5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5EDC1"/>
          <bgColor rgb="FF000000"/>
        </patternFill>
      </fill>
    </dxf>
    <dxf>
      <fill>
        <patternFill patternType="solid">
          <fgColor rgb="FFDDEDBA"/>
          <bgColor rgb="FF000000"/>
        </patternFill>
      </fill>
    </dxf>
    <dxf>
      <fill>
        <patternFill patternType="solid">
          <fgColor rgb="FFE8ECB1"/>
          <bgColor rgb="FF000000"/>
        </patternFill>
      </fill>
    </dxf>
    <dxf>
      <fill>
        <patternFill patternType="solid">
          <fgColor rgb="FFE9ECAF"/>
          <bgColor rgb="FF000000"/>
        </patternFill>
      </fill>
    </dxf>
    <dxf>
      <fill>
        <patternFill patternType="solid">
          <fgColor rgb="FFEEECAA"/>
          <bgColor rgb="FF000000"/>
        </patternFill>
      </fill>
    </dxf>
    <dxf>
      <fill>
        <patternFill patternType="solid">
          <fgColor rgb="FFF3EBA6"/>
          <bgColor rgb="FF000000"/>
        </patternFill>
      </fill>
    </dxf>
    <dxf>
      <fill>
        <patternFill patternType="solid">
          <fgColor rgb="FFF5EBA5"/>
          <bgColor rgb="FF000000"/>
        </patternFill>
      </fill>
    </dxf>
    <dxf>
      <fill>
        <patternFill patternType="solid">
          <fgColor rgb="FFF7EBA3"/>
          <bgColor rgb="FF000000"/>
        </patternFill>
      </fill>
    </dxf>
    <dxf>
      <fill>
        <patternFill patternType="solid">
          <fgColor rgb="FFF8EBA2"/>
          <bgColor rgb="FF000000"/>
        </patternFill>
      </fill>
    </dxf>
    <dxf>
      <fill>
        <patternFill patternType="solid">
          <fgColor rgb="FFF9EBA1"/>
          <bgColor rgb="FF000000"/>
        </patternFill>
      </fill>
    </dxf>
    <dxf>
      <fill>
        <patternFill patternType="solid">
          <fgColor rgb="FFFAEBA0"/>
          <bgColor rgb="FF000000"/>
        </patternFill>
      </fill>
    </dxf>
    <dxf>
      <fill>
        <patternFill patternType="solid">
          <fgColor rgb="FFFAEBA1"/>
          <bgColor rgb="FF000000"/>
        </patternFill>
      </fill>
    </dxf>
    <dxf>
      <fill>
        <patternFill patternType="solid">
          <fgColor rgb="FFFBEB9F"/>
          <bgColor rgb="FF000000"/>
        </patternFill>
      </fill>
    </dxf>
    <dxf>
      <fill>
        <patternFill patternType="solid">
          <fgColor rgb="FFFBEBA0"/>
          <bgColor rgb="FF000000"/>
        </patternFill>
      </fill>
    </dxf>
    <dxf>
      <fill>
        <patternFill patternType="solid">
          <fgColor rgb="FFFCEB9E"/>
          <bgColor rgb="FF000000"/>
        </patternFill>
      </fill>
    </dxf>
    <dxf>
      <fill>
        <patternFill patternType="solid">
          <fgColor rgb="FFFCEB9F"/>
          <bgColor rgb="FF000000"/>
        </patternFill>
      </fill>
    </dxf>
    <dxf>
      <fill>
        <patternFill patternType="solid">
          <fgColor rgb="FFFDEB9D"/>
          <bgColor rgb="FF000000"/>
        </patternFill>
      </fill>
    </dxf>
    <dxf>
      <fill>
        <patternFill patternType="solid">
          <fgColor rgb="FFFDEB9E"/>
          <bgColor rgb="FF000000"/>
        </patternFill>
      </fill>
    </dxf>
    <dxf>
      <fill>
        <patternFill patternType="solid">
          <fgColor rgb="FFFEEB9C"/>
          <bgColor rgb="FF000000"/>
        </patternFill>
      </fill>
    </dxf>
    <dxf>
      <fill>
        <patternFill patternType="solid">
          <fgColor rgb="FFFEEB9D"/>
          <bgColor rgb="FF000000"/>
        </patternFill>
      </fill>
    </dxf>
    <dxf>
      <fill>
        <patternFill patternType="solid">
          <fgColor rgb="FFFFC7C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8CC"/>
          <bgColor rgb="FF000000"/>
        </patternFill>
      </fill>
    </dxf>
    <dxf>
      <fill>
        <patternFill patternType="solid">
          <fgColor rgb="FFFFC9CA"/>
          <bgColor rgb="FF000000"/>
        </patternFill>
      </fill>
    </dxf>
    <dxf>
      <fill>
        <patternFill patternType="solid">
          <fgColor rgb="FFFFC9CB"/>
          <bgColor rgb="FF000000"/>
        </patternFill>
      </fill>
    </dxf>
    <dxf>
      <fill>
        <patternFill patternType="solid">
          <fgColor rgb="FFFFCAC9"/>
          <bgColor rgb="FF000000"/>
        </patternFill>
      </fill>
    </dxf>
    <dxf>
      <fill>
        <patternFill patternType="solid">
          <fgColor rgb="FFFFCACA"/>
          <bgColor rgb="FF000000"/>
        </patternFill>
      </fill>
    </dxf>
    <dxf>
      <fill>
        <patternFill patternType="solid">
          <fgColor rgb="FFFFCBC9"/>
          <bgColor rgb="FF000000"/>
        </patternFill>
      </fill>
    </dxf>
    <dxf>
      <fill>
        <patternFill patternType="solid">
          <fgColor rgb="FFFFCCC6"/>
          <bgColor rgb="FF000000"/>
        </patternFill>
      </fill>
    </dxf>
    <dxf>
      <fill>
        <patternFill patternType="solid">
          <fgColor rgb="FFFFCCC7"/>
          <bgColor rgb="FF000000"/>
        </patternFill>
      </fill>
    </dxf>
    <dxf>
      <fill>
        <patternFill patternType="solid">
          <fgColor rgb="FFFFCDC5"/>
          <bgColor rgb="FF000000"/>
        </patternFill>
      </fill>
    </dxf>
    <dxf>
      <fill>
        <patternFill patternType="solid">
          <fgColor rgb="FFFFCDC6"/>
          <bgColor rgb="FF000000"/>
        </patternFill>
      </fill>
    </dxf>
    <dxf>
      <fill>
        <patternFill patternType="solid">
          <fgColor rgb="FFFFCEC4"/>
          <bgColor rgb="FF000000"/>
        </patternFill>
      </fill>
    </dxf>
    <dxf>
      <fill>
        <patternFill patternType="solid">
          <fgColor rgb="FFFFCFC2"/>
          <bgColor rgb="FF000000"/>
        </patternFill>
      </fill>
    </dxf>
    <dxf>
      <fill>
        <patternFill patternType="solid">
          <fgColor rgb="FFFFCFC3"/>
          <bgColor rgb="FF000000"/>
        </patternFill>
      </fill>
    </dxf>
    <dxf>
      <fill>
        <patternFill patternType="solid">
          <fgColor rgb="FFFFD0C2"/>
          <bgColor rgb="FF000000"/>
        </patternFill>
      </fill>
    </dxf>
    <dxf>
      <fill>
        <patternFill patternType="solid">
          <fgColor rgb="FFFFD1C0"/>
          <bgColor rgb="FF000000"/>
        </patternFill>
      </fill>
    </dxf>
    <dxf>
      <fill>
        <patternFill patternType="solid">
          <fgColor rgb="FFFFD2BE"/>
          <bgColor rgb="FF000000"/>
        </patternFill>
      </fill>
    </dxf>
    <dxf>
      <fill>
        <patternFill patternType="solid">
          <fgColor rgb="FFFFD2BF"/>
          <bgColor rgb="FF000000"/>
        </patternFill>
      </fill>
    </dxf>
    <dxf>
      <fill>
        <patternFill patternType="solid">
          <fgColor rgb="FFFFD3BD"/>
          <bgColor rgb="FF000000"/>
        </patternFill>
      </fill>
    </dxf>
    <dxf>
      <fill>
        <patternFill patternType="solid">
          <fgColor rgb="FFFFD3BE"/>
          <bgColor rgb="FF000000"/>
        </patternFill>
      </fill>
    </dxf>
    <dxf>
      <fill>
        <patternFill patternType="solid">
          <fgColor rgb="FFFFD4BC"/>
          <bgColor rgb="FF000000"/>
        </patternFill>
      </fill>
    </dxf>
    <dxf>
      <fill>
        <patternFill patternType="solid">
          <fgColor rgb="FFFFD5BA"/>
          <bgColor rgb="FF000000"/>
        </patternFill>
      </fill>
    </dxf>
    <dxf>
      <fill>
        <patternFill patternType="solid">
          <fgColor rgb="FFFFD6B8"/>
          <bgColor rgb="FF000000"/>
        </patternFill>
      </fill>
    </dxf>
    <dxf>
      <fill>
        <patternFill patternType="solid">
          <fgColor rgb="FFFFD6B9"/>
          <bgColor rgb="FF000000"/>
        </patternFill>
      </fill>
    </dxf>
    <dxf>
      <fill>
        <patternFill patternType="solid">
          <fgColor rgb="FFFFD7B7"/>
          <bgColor rgb="FF000000"/>
        </patternFill>
      </fill>
    </dxf>
    <dxf>
      <fill>
        <patternFill patternType="solid">
          <fgColor rgb="FFFFD7B8"/>
          <bgColor rgb="FF000000"/>
        </patternFill>
      </fill>
    </dxf>
    <dxf>
      <fill>
        <patternFill patternType="solid">
          <fgColor rgb="FFFFD8B6"/>
          <bgColor rgb="FF000000"/>
        </patternFill>
      </fill>
    </dxf>
    <dxf>
      <fill>
        <patternFill patternType="solid">
          <fgColor rgb="FFFFD9B4"/>
          <bgColor rgb="FF000000"/>
        </patternFill>
      </fill>
    </dxf>
    <dxf>
      <fill>
        <patternFill patternType="solid">
          <fgColor rgb="FFFFD9B5"/>
          <bgColor rgb="FF000000"/>
        </patternFill>
      </fill>
    </dxf>
    <dxf>
      <fill>
        <patternFill patternType="solid">
          <fgColor rgb="FFFFDAB3"/>
          <bgColor rgb="FF000000"/>
        </patternFill>
      </fill>
    </dxf>
    <dxf>
      <fill>
        <patternFill patternType="solid">
          <fgColor rgb="FFFFDAB4"/>
          <bgColor rgb="FF000000"/>
        </patternFill>
      </fill>
    </dxf>
    <dxf>
      <fill>
        <patternFill patternType="solid">
          <fgColor rgb="FFFFDBB1"/>
          <bgColor rgb="FF000000"/>
        </patternFill>
      </fill>
    </dxf>
    <dxf>
      <fill>
        <patternFill patternType="solid">
          <fgColor rgb="FFFFDBB2"/>
          <bgColor rgb="FF000000"/>
        </patternFill>
      </fill>
    </dxf>
    <dxf>
      <fill>
        <patternFill patternType="solid">
          <fgColor rgb="FFFFDBB3"/>
          <bgColor rgb="FF000000"/>
        </patternFill>
      </fill>
    </dxf>
    <dxf>
      <fill>
        <patternFill patternType="solid">
          <fgColor rgb="FFFFDCB1"/>
          <bgColor rgb="FF000000"/>
        </patternFill>
      </fill>
    </dxf>
    <dxf>
      <fill>
        <patternFill patternType="solid">
          <fgColor rgb="FFFFDDAF"/>
          <bgColor rgb="FF000000"/>
        </patternFill>
      </fill>
    </dxf>
    <dxf>
      <fill>
        <patternFill patternType="solid">
          <fgColor rgb="FFFFDDB0"/>
          <bgColor rgb="FF000000"/>
        </patternFill>
      </fill>
    </dxf>
    <dxf>
      <fill>
        <patternFill patternType="solid">
          <fgColor rgb="FFFFDEAE"/>
          <bgColor rgb="FF000000"/>
        </patternFill>
      </fill>
    </dxf>
    <dxf>
      <fill>
        <patternFill patternType="solid">
          <fgColor rgb="FFFFDFAC"/>
          <bgColor rgb="FF000000"/>
        </patternFill>
      </fill>
    </dxf>
    <dxf>
      <fill>
        <patternFill patternType="solid">
          <fgColor rgb="FFFFDFAD"/>
          <bgColor rgb="FF000000"/>
        </patternFill>
      </fill>
    </dxf>
    <dxf>
      <fill>
        <patternFill patternType="solid">
          <fgColor rgb="FFFFE0AA"/>
          <bgColor rgb="FF000000"/>
        </patternFill>
      </fill>
    </dxf>
    <dxf>
      <fill>
        <patternFill patternType="solid">
          <fgColor rgb="FFFFE0AB"/>
          <bgColor rgb="FF000000"/>
        </patternFill>
      </fill>
    </dxf>
    <dxf>
      <fill>
        <patternFill patternType="solid">
          <fgColor rgb="FFFFE0AC"/>
          <bgColor rgb="FF000000"/>
        </patternFill>
      </fill>
    </dxf>
    <dxf>
      <fill>
        <patternFill patternType="solid">
          <fgColor rgb="FFFFE1AA"/>
          <bgColor rgb="FF000000"/>
        </patternFill>
      </fill>
    </dxf>
    <dxf>
      <fill>
        <patternFill patternType="solid">
          <fgColor rgb="FFFFE2A8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3A7"/>
          <bgColor rgb="FF000000"/>
        </patternFill>
      </fill>
    </dxf>
    <dxf>
      <fill>
        <patternFill patternType="solid">
          <fgColor rgb="FFFFE4A5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6A2"/>
          <bgColor rgb="FF000000"/>
        </patternFill>
      </fill>
    </dxf>
    <dxf>
      <fill>
        <patternFill patternType="solid">
          <fgColor rgb="FFFFE6A3"/>
          <bgColor rgb="FF000000"/>
        </patternFill>
      </fill>
    </dxf>
    <dxf>
      <fill>
        <patternFill patternType="solid">
          <fgColor rgb="FFFFE7A1"/>
          <bgColor rgb="FF000000"/>
        </patternFill>
      </fill>
    </dxf>
    <dxf>
      <fill>
        <patternFill patternType="solid">
          <fgColor rgb="FFFFE7A2"/>
          <bgColor rgb="FF000000"/>
        </patternFill>
      </fill>
    </dxf>
    <dxf>
      <fill>
        <patternFill patternType="solid">
          <fgColor rgb="FFFFE8A0"/>
          <bgColor rgb="FF000000"/>
        </patternFill>
      </fill>
    </dxf>
    <dxf>
      <fill>
        <patternFill patternType="solid">
          <fgColor rgb="FFFFE99F"/>
          <bgColor rgb="FF000000"/>
        </patternFill>
      </fill>
    </dxf>
    <dxf>
      <fill>
        <patternFill patternType="solid">
          <fgColor rgb="FFFFEA9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95959"/>
      <rgbColor rgb="FF800080"/>
      <rgbColor rgb="FF008080"/>
      <rgbColor rgb="FFD9D9D9"/>
      <rgbColor rgb="FF878787"/>
      <rgbColor rgb="FF9999FF"/>
      <rgbColor rgb="FF7030A0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8D5F5"/>
      <rgbColor rgb="FFF9F9F9"/>
      <rgbColor rgb="FFCC99FF"/>
      <rgbColor rgb="FFFFC7CE"/>
      <rgbColor rgb="FF4472C4"/>
      <rgbColor rgb="FF4BACC6"/>
      <rgbColor rgb="FF9BBB59"/>
      <rgbColor rgb="FFFFC000"/>
      <rgbColor rgb="FFF79646"/>
      <rgbColor rgb="FFED7D31"/>
      <rgbColor rgb="FF8064A2"/>
      <rgbColor rgb="FF70AD47"/>
      <rgbColor rgb="FF003366"/>
      <rgbColor rgb="FF4F81BD"/>
      <rgbColor rgb="FF003300"/>
      <rgbColor rgb="FF375623"/>
      <rgbColor rgb="FFC55A11"/>
      <rgbColor rgb="FFC0504D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Charts!$B$5:$B$8</c:f>
              <c:numCache>
                <c:formatCode>General</c:formatCode>
                <c:ptCount val="4"/>
                <c:pt idx="0">
                  <c:v>78372.68</c:v>
                </c:pt>
                <c:pt idx="1">
                  <c:v>73693.55</c:v>
                </c:pt>
                <c:pt idx="2">
                  <c:v>77102.86</c:v>
                </c:pt>
                <c:pt idx="3">
                  <c:v>50496.75</c:v>
                </c:pt>
              </c:numCache>
            </c:numRef>
          </c:val>
        </c:ser>
        <c:ser>
          <c:idx val="1"/>
          <c:order val="1"/>
          <c:tx>
            <c:strRef>
              <c:f>Charts!C4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Charts!$C$5:$C$8</c:f>
              <c:numCache>
                <c:formatCode>General</c:formatCode>
                <c:ptCount val="4"/>
                <c:pt idx="0">
                  <c:v>19127.49</c:v>
                </c:pt>
                <c:pt idx="1">
                  <c:v>19191.1</c:v>
                </c:pt>
                <c:pt idx="2">
                  <c:v>19678.02</c:v>
                </c:pt>
                <c:pt idx="3">
                  <c:v>14989.5</c:v>
                </c:pt>
              </c:numCache>
            </c:numRef>
          </c:val>
        </c:ser>
        <c:gapWidth val="150"/>
        <c:overlap val="0"/>
        <c:axId val="8365682"/>
        <c:axId val="25516097"/>
      </c:barChart>
      <c:catAx>
        <c:axId val="83656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16097"/>
        <c:crosses val="autoZero"/>
        <c:auto val="1"/>
        <c:lblAlgn val="ctr"/>
        <c:lblOffset val="100"/>
        <c:noMultiLvlLbl val="0"/>
      </c:catAx>
      <c:valAx>
        <c:axId val="25516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5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Charts!F4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 w="4752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Charts!$E$5:$E$16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Charts!$F$5:$F$16</c:f>
              <c:numCache>
                <c:formatCode>General</c:formatCode>
                <c:ptCount val="12"/>
                <c:pt idx="0">
                  <c:v>10940.37</c:v>
                </c:pt>
                <c:pt idx="1">
                  <c:v>9383.98</c:v>
                </c:pt>
                <c:pt idx="2">
                  <c:v>63336.74</c:v>
                </c:pt>
                <c:pt idx="3">
                  <c:v>5567.32</c:v>
                </c:pt>
                <c:pt idx="4">
                  <c:v>17176.35</c:v>
                </c:pt>
                <c:pt idx="5">
                  <c:v>63994.42</c:v>
                </c:pt>
                <c:pt idx="6">
                  <c:v>7563.77</c:v>
                </c:pt>
                <c:pt idx="7">
                  <c:v>12395.72</c:v>
                </c:pt>
                <c:pt idx="8">
                  <c:v>19717.04</c:v>
                </c:pt>
                <c:pt idx="9">
                  <c:v>27399.41</c:v>
                </c:pt>
                <c:pt idx="10">
                  <c:v>4411.76</c:v>
                </c:pt>
                <c:pt idx="11">
                  <c:v>37778.96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Charts!G4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Charts!$E$5:$E$16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Charts!$G$5:$G$16</c:f>
              <c:numCache>
                <c:formatCode>General</c:formatCode>
                <c:ptCount val="12"/>
                <c:pt idx="0">
                  <c:v>3156.03</c:v>
                </c:pt>
                <c:pt idx="1">
                  <c:v>3118.33</c:v>
                </c:pt>
                <c:pt idx="2">
                  <c:v>15371.07</c:v>
                </c:pt>
                <c:pt idx="3">
                  <c:v>1739.9</c:v>
                </c:pt>
                <c:pt idx="4">
                  <c:v>4479.9</c:v>
                </c:pt>
                <c:pt idx="5">
                  <c:v>14837.55</c:v>
                </c:pt>
                <c:pt idx="6">
                  <c:v>2731.98</c:v>
                </c:pt>
                <c:pt idx="7">
                  <c:v>4349.66</c:v>
                </c:pt>
                <c:pt idx="8">
                  <c:v>5530.43</c:v>
                </c:pt>
                <c:pt idx="9">
                  <c:v>7629.3</c:v>
                </c:pt>
                <c:pt idx="10">
                  <c:v>1755.55</c:v>
                </c:pt>
                <c:pt idx="11">
                  <c:v>8286.41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201002"/>
        <c:axId val="95870005"/>
      </c:lineChart>
      <c:catAx>
        <c:axId val="60201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70005"/>
        <c:crosses val="autoZero"/>
        <c:auto val="1"/>
        <c:lblAlgn val="ctr"/>
        <c:lblOffset val="100"/>
        <c:noMultiLvlLbl val="0"/>
      </c:catAx>
      <c:valAx>
        <c:axId val="958700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010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Charts!J4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Charts!$I$5:$I$10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Charts!$J$5:$J$10</c:f>
              <c:numCache>
                <c:formatCode>General</c:formatCode>
                <c:ptCount val="6"/>
                <c:pt idx="0">
                  <c:v>5432.47</c:v>
                </c:pt>
                <c:pt idx="1">
                  <c:v>5537.11</c:v>
                </c:pt>
                <c:pt idx="2">
                  <c:v>17399.43</c:v>
                </c:pt>
                <c:pt idx="3">
                  <c:v>191975.36</c:v>
                </c:pt>
                <c:pt idx="4">
                  <c:v>45657.2</c:v>
                </c:pt>
                <c:pt idx="5">
                  <c:v>13664.27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Charts!M4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Charts!$L$5:$L$10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Charts!$M$5:$M$10</c:f>
              <c:numCache>
                <c:formatCode>General</c:formatCode>
                <c:ptCount val="6"/>
                <c:pt idx="0">
                  <c:v>33547.47</c:v>
                </c:pt>
                <c:pt idx="1">
                  <c:v>91134.55</c:v>
                </c:pt>
                <c:pt idx="2">
                  <c:v>19354.49</c:v>
                </c:pt>
                <c:pt idx="3">
                  <c:v>24898.61</c:v>
                </c:pt>
                <c:pt idx="4">
                  <c:v>74030.07</c:v>
                </c:pt>
                <c:pt idx="5">
                  <c:v>36700.65</c:v>
                </c:pt>
              </c:numCache>
            </c:numRef>
          </c:val>
        </c:ser>
        <c:gapWidth val="150"/>
        <c:overlap val="0"/>
        <c:axId val="32813436"/>
        <c:axId val="35506690"/>
      </c:barChart>
      <c:catAx>
        <c:axId val="328134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06690"/>
        <c:crosses val="autoZero"/>
        <c:auto val="1"/>
        <c:lblAlgn val="ctr"/>
        <c:lblOffset val="100"/>
        <c:noMultiLvlLbl val="0"/>
      </c:catAx>
      <c:valAx>
        <c:axId val="35506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13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119520</xdr:colOff>
      <xdr:row>31</xdr:row>
      <xdr:rowOff>127440</xdr:rowOff>
    </xdr:to>
    <xdr:graphicFrame>
      <xdr:nvGraphicFramePr>
        <xdr:cNvPr id="0" name="Chart 1"/>
        <xdr:cNvGraphicFramePr/>
      </xdr:nvGraphicFramePr>
      <xdr:xfrm>
        <a:off x="0" y="1905120"/>
        <a:ext cx="575820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11</xdr:col>
      <xdr:colOff>134280</xdr:colOff>
      <xdr:row>31</xdr:row>
      <xdr:rowOff>127440</xdr:rowOff>
    </xdr:to>
    <xdr:graphicFrame>
      <xdr:nvGraphicFramePr>
        <xdr:cNvPr id="1" name="Chart 2"/>
        <xdr:cNvGraphicFramePr/>
      </xdr:nvGraphicFramePr>
      <xdr:xfrm>
        <a:off x="5638680" y="1905120"/>
        <a:ext cx="647820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5</xdr:col>
      <xdr:colOff>119520</xdr:colOff>
      <xdr:row>54</xdr:row>
      <xdr:rowOff>127440</xdr:rowOff>
    </xdr:to>
    <xdr:graphicFrame>
      <xdr:nvGraphicFramePr>
        <xdr:cNvPr id="2" name="Chart 3"/>
        <xdr:cNvGraphicFramePr/>
      </xdr:nvGraphicFramePr>
      <xdr:xfrm>
        <a:off x="0" y="6286680"/>
        <a:ext cx="575820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134280</xdr:colOff>
      <xdr:row>54</xdr:row>
      <xdr:rowOff>127440</xdr:rowOff>
    </xdr:to>
    <xdr:graphicFrame>
      <xdr:nvGraphicFramePr>
        <xdr:cNvPr id="3" name="Chart 4"/>
        <xdr:cNvGraphicFramePr/>
      </xdr:nvGraphicFramePr>
      <xdr:xfrm>
        <a:off x="5638680" y="6286680"/>
        <a:ext cx="647820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Data" displayName="TransactionData" ref="A4:S259" headerRowCount="1" totalsRowCount="0" totalsRowShown="0">
  <autoFilter ref="A4:S259"/>
  <tableColumns count="19">
    <tableColumn id="1" name="Transaction ID"/>
    <tableColumn id="2" name="Order Date"/>
    <tableColumn id="3" name="Delivery Date"/>
    <tableColumn id="4" name="Customer Name"/>
    <tableColumn id="5" name="Customer ID"/>
    <tableColumn id="6" name="Gender"/>
    <tableColumn id="7" name="Age"/>
    <tableColumn id="8" name="City"/>
    <tableColumn id="9" name="State"/>
    <tableColumn id="10" name="Region"/>
    <tableColumn id="11" name="Product Category"/>
    <tableColumn id="12" name="Product Name"/>
    <tableColumn id="13" name="Quantity"/>
    <tableColumn id="14" name="Unit Price"/>
    <tableColumn id="15" name="Discount"/>
    <tableColumn id="16" name="Revenue"/>
    <tableColumn id="17" name="Profit"/>
    <tableColumn id="18" name="Payment Mode"/>
    <tableColumn id="19" name="Salesper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S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3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6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8"/>
    <col collapsed="false" customWidth="true" hidden="false" outlineLevel="0" max="12" min="11" style="1" width="18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6" min="16" style="1" width="12"/>
    <col collapsed="false" customWidth="true" hidden="false" outlineLevel="0" max="17" min="17" style="1" width="11"/>
    <col collapsed="false" customWidth="true" hidden="false" outlineLevel="0" max="18" min="18" style="1" width="16"/>
    <col collapsed="false" customWidth="true" hidden="false" outlineLevel="0" max="19" min="19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8" hidden="false" customHeight="true" outlineLevel="0" collapsed="false">
      <c r="A2" s="3" t="str">
        <f aca="true">CONCATENATE("Report Generated: ",TEXT(NOW(),"DD-MMM-YYYY"))</f>
        <v>Report Generated: 10-May-2026</v>
      </c>
      <c r="B2" s="3"/>
      <c r="C2" s="3"/>
      <c r="D2" s="3"/>
      <c r="E2" s="4" t="str">
        <f aca="false">CONCATENATE("Total Records: ",COUNTA(A4:A258))</f>
        <v>Total Records: 255</v>
      </c>
      <c r="F2" s="3" t="str">
        <f aca="false">CONCATENATE("Date Range: ",TEXT(MIN(B4:B258),"DD-MMM-YY")," to ",TEXT(MAX(B4:B258),"DD-MMM-YY"))</f>
        <v>Date Range: 30-Dec-99 to 30-Dec-99</v>
      </c>
      <c r="G2" s="3"/>
      <c r="H2" s="3"/>
      <c r="I2" s="3"/>
    </row>
    <row r="3" customFormat="false" ht="3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21.75" hidden="false" customHeight="true" outlineLevel="0" collapsed="false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</row>
    <row r="5" customFormat="false" ht="15" hidden="false" customHeight="true" outlineLevel="0" collapsed="false">
      <c r="A5" s="7" t="s">
        <v>20</v>
      </c>
      <c r="B5" s="8" t="s">
        <v>21</v>
      </c>
      <c r="C5" s="8" t="s">
        <v>22</v>
      </c>
      <c r="D5" s="8" t="s">
        <v>23</v>
      </c>
      <c r="E5" s="7" t="s">
        <v>24</v>
      </c>
      <c r="F5" s="7" t="s">
        <v>25</v>
      </c>
      <c r="G5" s="7" t="n">
        <v>65</v>
      </c>
      <c r="H5" s="8" t="s">
        <v>26</v>
      </c>
      <c r="I5" s="8" t="s">
        <v>27</v>
      </c>
      <c r="J5" s="8" t="s">
        <v>28</v>
      </c>
      <c r="K5" s="8" t="s">
        <v>29</v>
      </c>
      <c r="L5" s="8" t="s">
        <v>30</v>
      </c>
      <c r="M5" s="7" t="n">
        <v>4</v>
      </c>
      <c r="N5" s="9" t="n">
        <v>87.18</v>
      </c>
      <c r="O5" s="10" t="n">
        <v>0</v>
      </c>
      <c r="P5" s="9" t="n">
        <v>348.73</v>
      </c>
      <c r="Q5" s="9" t="n">
        <v>136.71</v>
      </c>
      <c r="R5" s="8" t="s">
        <v>31</v>
      </c>
      <c r="S5" s="8" t="s">
        <v>32</v>
      </c>
    </row>
    <row r="6" customFormat="false" ht="15" hidden="false" customHeight="true" outlineLevel="0" collapsed="false">
      <c r="A6" s="11" t="s">
        <v>33</v>
      </c>
      <c r="B6" s="12" t="s">
        <v>34</v>
      </c>
      <c r="C6" s="12" t="s">
        <v>35</v>
      </c>
      <c r="D6" s="12" t="s">
        <v>36</v>
      </c>
      <c r="E6" s="11" t="s">
        <v>37</v>
      </c>
      <c r="F6" s="11" t="s">
        <v>25</v>
      </c>
      <c r="G6" s="11" t="n">
        <v>43</v>
      </c>
      <c r="H6" s="12" t="s">
        <v>38</v>
      </c>
      <c r="I6" s="12" t="s">
        <v>27</v>
      </c>
      <c r="J6" s="12" t="s">
        <v>28</v>
      </c>
      <c r="K6" s="12" t="s">
        <v>29</v>
      </c>
      <c r="L6" s="12" t="s">
        <v>39</v>
      </c>
      <c r="M6" s="11" t="n">
        <v>9</v>
      </c>
      <c r="N6" s="13" t="n">
        <v>26.46</v>
      </c>
      <c r="O6" s="14" t="n">
        <v>0</v>
      </c>
      <c r="P6" s="13" t="n">
        <v>238.15</v>
      </c>
      <c r="Q6" s="13" t="n">
        <v>74.88</v>
      </c>
      <c r="R6" s="12" t="s">
        <v>40</v>
      </c>
      <c r="S6" s="12" t="s">
        <v>41</v>
      </c>
    </row>
    <row r="7" customFormat="false" ht="15" hidden="false" customHeight="true" outlineLevel="0" collapsed="false">
      <c r="A7" s="7" t="s">
        <v>42</v>
      </c>
      <c r="B7" s="8" t="s">
        <v>43</v>
      </c>
      <c r="C7" s="8" t="s">
        <v>44</v>
      </c>
      <c r="D7" s="8" t="s">
        <v>45</v>
      </c>
      <c r="E7" s="7" t="s">
        <v>46</v>
      </c>
      <c r="F7" s="7" t="s">
        <v>47</v>
      </c>
      <c r="G7" s="7" t="n">
        <v>33</v>
      </c>
      <c r="H7" s="8" t="s">
        <v>48</v>
      </c>
      <c r="I7" s="8" t="s">
        <v>49</v>
      </c>
      <c r="J7" s="8" t="s">
        <v>50</v>
      </c>
      <c r="K7" s="8" t="s">
        <v>51</v>
      </c>
      <c r="L7" s="8" t="s">
        <v>52</v>
      </c>
      <c r="M7" s="7" t="n">
        <v>10</v>
      </c>
      <c r="N7" s="9" t="n">
        <v>860.87</v>
      </c>
      <c r="O7" s="10" t="n">
        <v>0</v>
      </c>
      <c r="P7" s="9" t="n">
        <v>8608.73</v>
      </c>
      <c r="Q7" s="9" t="n">
        <v>2223.24</v>
      </c>
      <c r="R7" s="8" t="s">
        <v>53</v>
      </c>
      <c r="S7" s="8" t="s">
        <v>54</v>
      </c>
    </row>
    <row r="8" customFormat="false" ht="15" hidden="false" customHeight="true" outlineLevel="0" collapsed="false">
      <c r="A8" s="11" t="s">
        <v>55</v>
      </c>
      <c r="B8" s="12" t="s">
        <v>56</v>
      </c>
      <c r="C8" s="12" t="s">
        <v>21</v>
      </c>
      <c r="D8" s="12" t="s">
        <v>57</v>
      </c>
      <c r="E8" s="11" t="s">
        <v>58</v>
      </c>
      <c r="F8" s="11" t="s">
        <v>25</v>
      </c>
      <c r="G8" s="11" t="n">
        <v>52</v>
      </c>
      <c r="H8" s="12" t="s">
        <v>59</v>
      </c>
      <c r="I8" s="12" t="s">
        <v>60</v>
      </c>
      <c r="J8" s="12" t="s">
        <v>50</v>
      </c>
      <c r="K8" s="12" t="s">
        <v>61</v>
      </c>
      <c r="L8" s="12" t="s">
        <v>62</v>
      </c>
      <c r="M8" s="11" t="n">
        <v>2</v>
      </c>
      <c r="N8" s="13" t="n">
        <v>38.42</v>
      </c>
      <c r="O8" s="14" t="n">
        <v>0.1</v>
      </c>
      <c r="P8" s="13" t="n">
        <v>69.15</v>
      </c>
      <c r="Q8" s="13" t="n">
        <v>26.54</v>
      </c>
      <c r="R8" s="12" t="s">
        <v>40</v>
      </c>
      <c r="S8" s="12" t="s">
        <v>63</v>
      </c>
    </row>
    <row r="9" customFormat="false" ht="15" hidden="false" customHeight="true" outlineLevel="0" collapsed="false">
      <c r="A9" s="7" t="s">
        <v>64</v>
      </c>
      <c r="B9" s="8" t="s">
        <v>65</v>
      </c>
      <c r="C9" s="8" t="s">
        <v>66</v>
      </c>
      <c r="D9" s="8" t="s">
        <v>67</v>
      </c>
      <c r="E9" s="7" t="s">
        <v>68</v>
      </c>
      <c r="F9" s="7" t="s">
        <v>25</v>
      </c>
      <c r="G9" s="7" t="n">
        <v>60</v>
      </c>
      <c r="H9" s="8" t="s">
        <v>69</v>
      </c>
      <c r="I9" s="8" t="s">
        <v>70</v>
      </c>
      <c r="J9" s="8" t="s">
        <v>50</v>
      </c>
      <c r="K9" s="8" t="s">
        <v>51</v>
      </c>
      <c r="L9" s="8" t="s">
        <v>71</v>
      </c>
      <c r="M9" s="7" t="n">
        <v>5</v>
      </c>
      <c r="N9" s="9" t="n">
        <v>136.96</v>
      </c>
      <c r="O9" s="10" t="n">
        <v>0.2</v>
      </c>
      <c r="P9" s="9" t="n">
        <v>547.86</v>
      </c>
      <c r="Q9" s="9" t="n">
        <v>122.61</v>
      </c>
      <c r="R9" s="8" t="s">
        <v>72</v>
      </c>
      <c r="S9" s="8" t="s">
        <v>73</v>
      </c>
    </row>
    <row r="10" customFormat="false" ht="15" hidden="false" customHeight="true" outlineLevel="0" collapsed="false">
      <c r="A10" s="11" t="s">
        <v>74</v>
      </c>
      <c r="B10" s="12" t="s">
        <v>75</v>
      </c>
      <c r="C10" s="12" t="s">
        <v>66</v>
      </c>
      <c r="D10" s="12" t="s">
        <v>76</v>
      </c>
      <c r="E10" s="11" t="s">
        <v>46</v>
      </c>
      <c r="F10" s="11" t="s">
        <v>25</v>
      </c>
      <c r="G10" s="11" t="n">
        <v>61</v>
      </c>
      <c r="H10" s="12" t="s">
        <v>77</v>
      </c>
      <c r="I10" s="12" t="s">
        <v>78</v>
      </c>
      <c r="J10" s="12" t="s">
        <v>79</v>
      </c>
      <c r="K10" s="12" t="s">
        <v>51</v>
      </c>
      <c r="L10" s="12" t="s">
        <v>52</v>
      </c>
      <c r="M10" s="11" t="n">
        <v>3</v>
      </c>
      <c r="N10" s="13" t="n">
        <v>767.15</v>
      </c>
      <c r="O10" s="14" t="n">
        <v>0.1</v>
      </c>
      <c r="P10" s="13" t="n">
        <v>2071.31</v>
      </c>
      <c r="Q10" s="13" t="n">
        <v>402.94</v>
      </c>
      <c r="R10" s="12" t="s">
        <v>40</v>
      </c>
      <c r="S10" s="12" t="s">
        <v>80</v>
      </c>
    </row>
    <row r="11" customFormat="false" ht="15" hidden="false" customHeight="true" outlineLevel="0" collapsed="false">
      <c r="A11" s="7" t="s">
        <v>81</v>
      </c>
      <c r="B11" s="8" t="s">
        <v>82</v>
      </c>
      <c r="C11" s="8" t="s">
        <v>83</v>
      </c>
      <c r="D11" s="8" t="s">
        <v>84</v>
      </c>
      <c r="E11" s="7" t="s">
        <v>85</v>
      </c>
      <c r="F11" s="7" t="s">
        <v>25</v>
      </c>
      <c r="G11" s="7" t="n">
        <v>65</v>
      </c>
      <c r="H11" s="8" t="s">
        <v>86</v>
      </c>
      <c r="I11" s="8" t="s">
        <v>87</v>
      </c>
      <c r="J11" s="8" t="s">
        <v>88</v>
      </c>
      <c r="K11" s="8" t="s">
        <v>51</v>
      </c>
      <c r="L11" s="8" t="s">
        <v>89</v>
      </c>
      <c r="M11" s="7" t="n">
        <v>1</v>
      </c>
      <c r="N11" s="9" t="n">
        <v>340.57</v>
      </c>
      <c r="O11" s="10" t="n">
        <v>0.2</v>
      </c>
      <c r="P11" s="9" t="n">
        <v>272.45</v>
      </c>
      <c r="Q11" s="9" t="n">
        <v>51.09</v>
      </c>
      <c r="R11" s="8" t="s">
        <v>40</v>
      </c>
      <c r="S11" s="8" t="s">
        <v>90</v>
      </c>
    </row>
    <row r="12" customFormat="false" ht="15" hidden="false" customHeight="true" outlineLevel="0" collapsed="false">
      <c r="A12" s="11" t="s">
        <v>91</v>
      </c>
      <c r="B12" s="12" t="s">
        <v>92</v>
      </c>
      <c r="C12" s="12" t="s">
        <v>93</v>
      </c>
      <c r="D12" s="12" t="s">
        <v>94</v>
      </c>
      <c r="E12" s="11" t="s">
        <v>95</v>
      </c>
      <c r="F12" s="11" t="s">
        <v>47</v>
      </c>
      <c r="G12" s="11" t="n">
        <v>26</v>
      </c>
      <c r="H12" s="12" t="s">
        <v>26</v>
      </c>
      <c r="I12" s="12" t="s">
        <v>27</v>
      </c>
      <c r="J12" s="12" t="s">
        <v>28</v>
      </c>
      <c r="K12" s="12" t="s">
        <v>51</v>
      </c>
      <c r="L12" s="12" t="s">
        <v>52</v>
      </c>
      <c r="M12" s="11" t="n">
        <v>9</v>
      </c>
      <c r="N12" s="13" t="n">
        <v>691.53</v>
      </c>
      <c r="O12" s="14" t="n">
        <v>0</v>
      </c>
      <c r="P12" s="13" t="n">
        <v>6223.76</v>
      </c>
      <c r="Q12" s="13" t="n">
        <v>1414.42</v>
      </c>
      <c r="R12" s="12" t="s">
        <v>72</v>
      </c>
      <c r="S12" s="12" t="s">
        <v>96</v>
      </c>
    </row>
    <row r="13" customFormat="false" ht="15" hidden="false" customHeight="true" outlineLevel="0" collapsed="false">
      <c r="A13" s="7" t="s">
        <v>97</v>
      </c>
      <c r="B13" s="8" t="s">
        <v>98</v>
      </c>
      <c r="C13" s="8" t="s">
        <v>99</v>
      </c>
      <c r="D13" s="8" t="s">
        <v>100</v>
      </c>
      <c r="E13" s="7" t="s">
        <v>101</v>
      </c>
      <c r="F13" s="7" t="s">
        <v>25</v>
      </c>
      <c r="G13" s="7" t="n">
        <v>33</v>
      </c>
      <c r="H13" s="8" t="s">
        <v>102</v>
      </c>
      <c r="I13" s="8" t="s">
        <v>103</v>
      </c>
      <c r="J13" s="8" t="s">
        <v>28</v>
      </c>
      <c r="K13" s="8" t="s">
        <v>104</v>
      </c>
      <c r="L13" s="8" t="s">
        <v>105</v>
      </c>
      <c r="M13" s="7" t="n">
        <v>6</v>
      </c>
      <c r="N13" s="9" t="n">
        <v>104.58</v>
      </c>
      <c r="O13" s="10" t="n">
        <v>0.2</v>
      </c>
      <c r="P13" s="9" t="n">
        <v>502</v>
      </c>
      <c r="Q13" s="9" t="n">
        <v>202.94</v>
      </c>
      <c r="R13" s="8" t="s">
        <v>106</v>
      </c>
      <c r="S13" s="8" t="s">
        <v>90</v>
      </c>
    </row>
    <row r="14" customFormat="false" ht="15" hidden="false" customHeight="true" outlineLevel="0" collapsed="false">
      <c r="A14" s="11" t="s">
        <v>107</v>
      </c>
      <c r="B14" s="12" t="s">
        <v>108</v>
      </c>
      <c r="C14" s="12" t="s">
        <v>109</v>
      </c>
      <c r="D14" s="12" t="s">
        <v>110</v>
      </c>
      <c r="E14" s="11" t="s">
        <v>111</v>
      </c>
      <c r="F14" s="11" t="s">
        <v>25</v>
      </c>
      <c r="G14" s="11" t="n">
        <v>48</v>
      </c>
      <c r="H14" s="12" t="s">
        <v>48</v>
      </c>
      <c r="I14" s="12" t="s">
        <v>49</v>
      </c>
      <c r="J14" s="12" t="s">
        <v>50</v>
      </c>
      <c r="K14" s="12" t="s">
        <v>112</v>
      </c>
      <c r="L14" s="12" t="s">
        <v>113</v>
      </c>
      <c r="M14" s="11" t="n">
        <v>4</v>
      </c>
      <c r="N14" s="13" t="n">
        <v>23.92</v>
      </c>
      <c r="O14" s="14" t="n">
        <v>0.2</v>
      </c>
      <c r="P14" s="13" t="n">
        <v>76.54</v>
      </c>
      <c r="Q14" s="13" t="n">
        <v>49.62</v>
      </c>
      <c r="R14" s="12" t="s">
        <v>106</v>
      </c>
      <c r="S14" s="12" t="s">
        <v>80</v>
      </c>
    </row>
    <row r="15" customFormat="false" ht="15" hidden="false" customHeight="true" outlineLevel="0" collapsed="false">
      <c r="A15" s="7" t="s">
        <v>114</v>
      </c>
      <c r="B15" s="8" t="s">
        <v>115</v>
      </c>
      <c r="C15" s="8" t="s">
        <v>116</v>
      </c>
      <c r="D15" s="8" t="s">
        <v>117</v>
      </c>
      <c r="E15" s="7" t="s">
        <v>118</v>
      </c>
      <c r="F15" s="7" t="s">
        <v>47</v>
      </c>
      <c r="G15" s="7" t="n">
        <v>59</v>
      </c>
      <c r="H15" s="8" t="s">
        <v>119</v>
      </c>
      <c r="I15" s="8" t="s">
        <v>119</v>
      </c>
      <c r="J15" s="8" t="s">
        <v>28</v>
      </c>
      <c r="K15" s="8" t="s">
        <v>104</v>
      </c>
      <c r="L15" s="8" t="s">
        <v>105</v>
      </c>
      <c r="M15" s="7" t="n">
        <v>4</v>
      </c>
      <c r="N15" s="9" t="n">
        <v>90.84</v>
      </c>
      <c r="O15" s="10" t="n">
        <v>0</v>
      </c>
      <c r="P15" s="9" t="n">
        <v>363.38</v>
      </c>
      <c r="Q15" s="9" t="n">
        <v>174.86</v>
      </c>
      <c r="R15" s="8" t="s">
        <v>53</v>
      </c>
      <c r="S15" s="8" t="s">
        <v>120</v>
      </c>
    </row>
    <row r="16" customFormat="false" ht="15" hidden="false" customHeight="true" outlineLevel="0" collapsed="false">
      <c r="A16" s="11" t="s">
        <v>121</v>
      </c>
      <c r="B16" s="12" t="s">
        <v>122</v>
      </c>
      <c r="C16" s="12" t="s">
        <v>123</v>
      </c>
      <c r="D16" s="12" t="s">
        <v>124</v>
      </c>
      <c r="E16" s="11" t="s">
        <v>24</v>
      </c>
      <c r="F16" s="11" t="s">
        <v>47</v>
      </c>
      <c r="G16" s="11" t="n">
        <v>40</v>
      </c>
      <c r="H16" s="12" t="s">
        <v>125</v>
      </c>
      <c r="I16" s="12" t="s">
        <v>126</v>
      </c>
      <c r="J16" s="12" t="s">
        <v>88</v>
      </c>
      <c r="K16" s="12" t="s">
        <v>51</v>
      </c>
      <c r="L16" s="12" t="s">
        <v>127</v>
      </c>
      <c r="M16" s="11" t="n">
        <v>10</v>
      </c>
      <c r="N16" s="13" t="n">
        <v>308.75</v>
      </c>
      <c r="O16" s="14" t="n">
        <v>0</v>
      </c>
      <c r="P16" s="13" t="n">
        <v>3087.53</v>
      </c>
      <c r="Q16" s="13" t="n">
        <v>553.8</v>
      </c>
      <c r="R16" s="12" t="s">
        <v>53</v>
      </c>
      <c r="S16" s="12" t="s">
        <v>128</v>
      </c>
    </row>
    <row r="17" customFormat="false" ht="15" hidden="false" customHeight="true" outlineLevel="0" collapsed="false">
      <c r="A17" s="7" t="s">
        <v>129</v>
      </c>
      <c r="B17" s="8" t="s">
        <v>130</v>
      </c>
      <c r="C17" s="8" t="s">
        <v>131</v>
      </c>
      <c r="D17" s="8" t="s">
        <v>132</v>
      </c>
      <c r="E17" s="7" t="s">
        <v>133</v>
      </c>
      <c r="F17" s="7" t="s">
        <v>25</v>
      </c>
      <c r="G17" s="7" t="n">
        <v>41</v>
      </c>
      <c r="H17" s="8" t="s">
        <v>86</v>
      </c>
      <c r="I17" s="8" t="s">
        <v>87</v>
      </c>
      <c r="J17" s="8" t="s">
        <v>88</v>
      </c>
      <c r="K17" s="8" t="s">
        <v>134</v>
      </c>
      <c r="L17" s="8" t="s">
        <v>135</v>
      </c>
      <c r="M17" s="7" t="n">
        <v>1</v>
      </c>
      <c r="N17" s="9" t="n">
        <v>11.34</v>
      </c>
      <c r="O17" s="10" t="n">
        <v>0</v>
      </c>
      <c r="P17" s="9" t="n">
        <v>11.34</v>
      </c>
      <c r="Q17" s="9" t="n">
        <v>6.29</v>
      </c>
      <c r="R17" s="8" t="s">
        <v>31</v>
      </c>
      <c r="S17" s="8" t="s">
        <v>96</v>
      </c>
    </row>
    <row r="18" customFormat="false" ht="15" hidden="false" customHeight="true" outlineLevel="0" collapsed="false">
      <c r="A18" s="11" t="s">
        <v>136</v>
      </c>
      <c r="B18" s="12" t="s">
        <v>137</v>
      </c>
      <c r="C18" s="12" t="s">
        <v>138</v>
      </c>
      <c r="D18" s="12" t="s">
        <v>139</v>
      </c>
      <c r="E18" s="11" t="s">
        <v>140</v>
      </c>
      <c r="F18" s="11" t="s">
        <v>25</v>
      </c>
      <c r="G18" s="11" t="n">
        <v>30</v>
      </c>
      <c r="H18" s="12" t="s">
        <v>141</v>
      </c>
      <c r="I18" s="12" t="s">
        <v>142</v>
      </c>
      <c r="J18" s="12" t="s">
        <v>88</v>
      </c>
      <c r="K18" s="12" t="s">
        <v>112</v>
      </c>
      <c r="L18" s="12" t="s">
        <v>143</v>
      </c>
      <c r="M18" s="11" t="n">
        <v>9</v>
      </c>
      <c r="N18" s="13" t="n">
        <v>11.68</v>
      </c>
      <c r="O18" s="14" t="n">
        <v>0.05</v>
      </c>
      <c r="P18" s="13" t="n">
        <v>99.9</v>
      </c>
      <c r="Q18" s="13" t="n">
        <v>55.77</v>
      </c>
      <c r="R18" s="12" t="s">
        <v>144</v>
      </c>
      <c r="S18" s="12" t="s">
        <v>90</v>
      </c>
    </row>
    <row r="19" customFormat="false" ht="15" hidden="false" customHeight="true" outlineLevel="0" collapsed="false">
      <c r="A19" s="7" t="s">
        <v>145</v>
      </c>
      <c r="B19" s="8" t="s">
        <v>146</v>
      </c>
      <c r="C19" s="8" t="s">
        <v>147</v>
      </c>
      <c r="D19" s="8" t="s">
        <v>148</v>
      </c>
      <c r="E19" s="7" t="s">
        <v>85</v>
      </c>
      <c r="F19" s="7" t="s">
        <v>47</v>
      </c>
      <c r="G19" s="7" t="n">
        <v>47</v>
      </c>
      <c r="H19" s="8" t="s">
        <v>149</v>
      </c>
      <c r="I19" s="8" t="s">
        <v>150</v>
      </c>
      <c r="J19" s="8" t="s">
        <v>50</v>
      </c>
      <c r="K19" s="8" t="s">
        <v>104</v>
      </c>
      <c r="L19" s="8" t="s">
        <v>151</v>
      </c>
      <c r="M19" s="7" t="n">
        <v>9</v>
      </c>
      <c r="N19" s="9" t="n">
        <v>65.09</v>
      </c>
      <c r="O19" s="10" t="n">
        <v>0</v>
      </c>
      <c r="P19" s="9" t="n">
        <v>585.83</v>
      </c>
      <c r="Q19" s="9" t="n">
        <v>225.08</v>
      </c>
      <c r="R19" s="8" t="s">
        <v>53</v>
      </c>
      <c r="S19" s="8" t="s">
        <v>41</v>
      </c>
    </row>
    <row r="20" customFormat="false" ht="15" hidden="false" customHeight="true" outlineLevel="0" collapsed="false">
      <c r="A20" s="11" t="s">
        <v>152</v>
      </c>
      <c r="B20" s="12" t="s">
        <v>130</v>
      </c>
      <c r="C20" s="12" t="s">
        <v>153</v>
      </c>
      <c r="D20" s="12" t="s">
        <v>154</v>
      </c>
      <c r="E20" s="11" t="s">
        <v>155</v>
      </c>
      <c r="F20" s="11" t="s">
        <v>25</v>
      </c>
      <c r="G20" s="11" t="n">
        <v>61</v>
      </c>
      <c r="H20" s="12" t="s">
        <v>156</v>
      </c>
      <c r="I20" s="12" t="s">
        <v>157</v>
      </c>
      <c r="J20" s="12" t="s">
        <v>28</v>
      </c>
      <c r="K20" s="12" t="s">
        <v>112</v>
      </c>
      <c r="L20" s="12" t="s">
        <v>158</v>
      </c>
      <c r="M20" s="11" t="n">
        <v>5</v>
      </c>
      <c r="N20" s="13" t="n">
        <v>63.37</v>
      </c>
      <c r="O20" s="14" t="n">
        <v>0.15</v>
      </c>
      <c r="P20" s="13" t="n">
        <v>269.33</v>
      </c>
      <c r="Q20" s="13" t="n">
        <v>169.31</v>
      </c>
      <c r="R20" s="12" t="s">
        <v>106</v>
      </c>
      <c r="S20" s="12" t="s">
        <v>41</v>
      </c>
    </row>
    <row r="21" customFormat="false" ht="15" hidden="false" customHeight="true" outlineLevel="0" collapsed="false">
      <c r="A21" s="7" t="s">
        <v>159</v>
      </c>
      <c r="B21" s="8" t="s">
        <v>66</v>
      </c>
      <c r="C21" s="8" t="s">
        <v>160</v>
      </c>
      <c r="D21" s="8" t="s">
        <v>161</v>
      </c>
      <c r="E21" s="7" t="s">
        <v>162</v>
      </c>
      <c r="F21" s="7" t="s">
        <v>25</v>
      </c>
      <c r="G21" s="7" t="n">
        <v>63</v>
      </c>
      <c r="H21" s="8" t="s">
        <v>163</v>
      </c>
      <c r="I21" s="8" t="s">
        <v>164</v>
      </c>
      <c r="J21" s="8" t="s">
        <v>79</v>
      </c>
      <c r="K21" s="8" t="s">
        <v>51</v>
      </c>
      <c r="L21" s="8" t="s">
        <v>71</v>
      </c>
      <c r="M21" s="7" t="n">
        <v>10</v>
      </c>
      <c r="N21" s="9" t="n">
        <v>178.48</v>
      </c>
      <c r="O21" s="10" t="n">
        <v>0</v>
      </c>
      <c r="P21" s="9" t="n">
        <v>1784.84</v>
      </c>
      <c r="Q21" s="9" t="n">
        <v>385.66</v>
      </c>
      <c r="R21" s="8" t="s">
        <v>53</v>
      </c>
      <c r="S21" s="8" t="s">
        <v>90</v>
      </c>
    </row>
    <row r="22" customFormat="false" ht="15" hidden="false" customHeight="true" outlineLevel="0" collapsed="false">
      <c r="A22" s="11" t="s">
        <v>165</v>
      </c>
      <c r="B22" s="12" t="s">
        <v>166</v>
      </c>
      <c r="C22" s="12" t="s">
        <v>167</v>
      </c>
      <c r="D22" s="12" t="s">
        <v>168</v>
      </c>
      <c r="E22" s="11" t="s">
        <v>169</v>
      </c>
      <c r="F22" s="11" t="s">
        <v>47</v>
      </c>
      <c r="G22" s="11" t="n">
        <v>21</v>
      </c>
      <c r="H22" s="12" t="s">
        <v>102</v>
      </c>
      <c r="I22" s="12" t="s">
        <v>103</v>
      </c>
      <c r="J22" s="12" t="s">
        <v>28</v>
      </c>
      <c r="K22" s="12" t="s">
        <v>112</v>
      </c>
      <c r="L22" s="12" t="s">
        <v>170</v>
      </c>
      <c r="M22" s="11" t="n">
        <v>7</v>
      </c>
      <c r="N22" s="13" t="n">
        <v>18.75</v>
      </c>
      <c r="O22" s="14" t="n">
        <v>0.2</v>
      </c>
      <c r="P22" s="13" t="n">
        <v>105</v>
      </c>
      <c r="Q22" s="13" t="n">
        <v>74.54</v>
      </c>
      <c r="R22" s="12" t="s">
        <v>106</v>
      </c>
      <c r="S22" s="12" t="s">
        <v>73</v>
      </c>
    </row>
    <row r="23" customFormat="false" ht="15" hidden="false" customHeight="true" outlineLevel="0" collapsed="false">
      <c r="A23" s="7" t="s">
        <v>171</v>
      </c>
      <c r="B23" s="8" t="s">
        <v>172</v>
      </c>
      <c r="C23" s="8" t="s">
        <v>173</v>
      </c>
      <c r="D23" s="8" t="s">
        <v>174</v>
      </c>
      <c r="E23" s="7" t="s">
        <v>175</v>
      </c>
      <c r="F23" s="7" t="s">
        <v>47</v>
      </c>
      <c r="G23" s="7" t="n">
        <v>28</v>
      </c>
      <c r="H23" s="8" t="s">
        <v>176</v>
      </c>
      <c r="I23" s="8" t="s">
        <v>177</v>
      </c>
      <c r="J23" s="8" t="s">
        <v>50</v>
      </c>
      <c r="K23" s="8" t="s">
        <v>134</v>
      </c>
      <c r="L23" s="8" t="s">
        <v>178</v>
      </c>
      <c r="M23" s="7" t="n">
        <v>10</v>
      </c>
      <c r="N23" s="9" t="n">
        <v>23.52</v>
      </c>
      <c r="O23" s="10" t="n">
        <v>0.1</v>
      </c>
      <c r="P23" s="9" t="n">
        <v>211.68</v>
      </c>
      <c r="Q23" s="9" t="n">
        <v>113.01</v>
      </c>
      <c r="R23" s="8" t="s">
        <v>53</v>
      </c>
      <c r="S23" s="8" t="s">
        <v>63</v>
      </c>
    </row>
    <row r="24" customFormat="false" ht="15" hidden="false" customHeight="true" outlineLevel="0" collapsed="false">
      <c r="A24" s="11" t="s">
        <v>179</v>
      </c>
      <c r="B24" s="12" t="s">
        <v>180</v>
      </c>
      <c r="C24" s="12" t="s">
        <v>181</v>
      </c>
      <c r="D24" s="12" t="s">
        <v>182</v>
      </c>
      <c r="E24" s="11" t="s">
        <v>183</v>
      </c>
      <c r="F24" s="11" t="s">
        <v>47</v>
      </c>
      <c r="G24" s="11" t="n">
        <v>38</v>
      </c>
      <c r="H24" s="12" t="s">
        <v>184</v>
      </c>
      <c r="I24" s="12" t="s">
        <v>185</v>
      </c>
      <c r="J24" s="12" t="s">
        <v>88</v>
      </c>
      <c r="K24" s="12" t="s">
        <v>61</v>
      </c>
      <c r="L24" s="12" t="s">
        <v>62</v>
      </c>
      <c r="M24" s="11" t="n">
        <v>5</v>
      </c>
      <c r="N24" s="13" t="n">
        <v>46.17</v>
      </c>
      <c r="O24" s="14" t="n">
        <v>0.15</v>
      </c>
      <c r="P24" s="13" t="n">
        <v>196.21</v>
      </c>
      <c r="Q24" s="13" t="n">
        <v>57.41</v>
      </c>
      <c r="R24" s="12" t="s">
        <v>31</v>
      </c>
      <c r="S24" s="12" t="s">
        <v>54</v>
      </c>
    </row>
    <row r="25" customFormat="false" ht="15" hidden="false" customHeight="true" outlineLevel="0" collapsed="false">
      <c r="A25" s="7" t="s">
        <v>186</v>
      </c>
      <c r="B25" s="8" t="s">
        <v>187</v>
      </c>
      <c r="C25" s="8" t="s">
        <v>188</v>
      </c>
      <c r="D25" s="8" t="s">
        <v>189</v>
      </c>
      <c r="E25" s="7" t="s">
        <v>140</v>
      </c>
      <c r="F25" s="7" t="s">
        <v>25</v>
      </c>
      <c r="G25" s="7" t="n">
        <v>31</v>
      </c>
      <c r="H25" s="8" t="s">
        <v>190</v>
      </c>
      <c r="I25" s="8" t="s">
        <v>142</v>
      </c>
      <c r="J25" s="8" t="s">
        <v>88</v>
      </c>
      <c r="K25" s="8" t="s">
        <v>134</v>
      </c>
      <c r="L25" s="8" t="s">
        <v>191</v>
      </c>
      <c r="M25" s="7" t="n">
        <v>2</v>
      </c>
      <c r="N25" s="9" t="n">
        <v>45.72</v>
      </c>
      <c r="O25" s="10" t="n">
        <v>0</v>
      </c>
      <c r="P25" s="9" t="n">
        <v>91.44</v>
      </c>
      <c r="Q25" s="9" t="n">
        <v>51.15</v>
      </c>
      <c r="R25" s="8" t="s">
        <v>53</v>
      </c>
      <c r="S25" s="8" t="s">
        <v>128</v>
      </c>
    </row>
    <row r="26" customFormat="false" ht="15" hidden="false" customHeight="true" outlineLevel="0" collapsed="false">
      <c r="A26" s="11" t="s">
        <v>192</v>
      </c>
      <c r="B26" s="12" t="s">
        <v>21</v>
      </c>
      <c r="C26" s="12" t="s">
        <v>193</v>
      </c>
      <c r="D26" s="12" t="s">
        <v>189</v>
      </c>
      <c r="E26" s="11" t="s">
        <v>111</v>
      </c>
      <c r="F26" s="11" t="s">
        <v>25</v>
      </c>
      <c r="G26" s="11" t="n">
        <v>49</v>
      </c>
      <c r="H26" s="12" t="s">
        <v>163</v>
      </c>
      <c r="I26" s="12" t="s">
        <v>164</v>
      </c>
      <c r="J26" s="12" t="s">
        <v>79</v>
      </c>
      <c r="K26" s="12" t="s">
        <v>29</v>
      </c>
      <c r="L26" s="12" t="s">
        <v>194</v>
      </c>
      <c r="M26" s="11" t="n">
        <v>1</v>
      </c>
      <c r="N26" s="13" t="n">
        <v>24.54</v>
      </c>
      <c r="O26" s="14" t="n">
        <v>0</v>
      </c>
      <c r="P26" s="13" t="n">
        <v>24.54</v>
      </c>
      <c r="Q26" s="13" t="n">
        <v>10.27</v>
      </c>
      <c r="R26" s="12" t="s">
        <v>72</v>
      </c>
      <c r="S26" s="12" t="s">
        <v>90</v>
      </c>
    </row>
    <row r="27" customFormat="false" ht="15" hidden="false" customHeight="true" outlineLevel="0" collapsed="false">
      <c r="A27" s="7" t="s">
        <v>195</v>
      </c>
      <c r="B27" s="8" t="s">
        <v>196</v>
      </c>
      <c r="C27" s="8" t="s">
        <v>197</v>
      </c>
      <c r="D27" s="8" t="s">
        <v>132</v>
      </c>
      <c r="E27" s="7" t="s">
        <v>198</v>
      </c>
      <c r="F27" s="7" t="s">
        <v>25</v>
      </c>
      <c r="G27" s="7" t="n">
        <v>43</v>
      </c>
      <c r="H27" s="8" t="s">
        <v>149</v>
      </c>
      <c r="I27" s="8" t="s">
        <v>150</v>
      </c>
      <c r="J27" s="8" t="s">
        <v>50</v>
      </c>
      <c r="K27" s="8" t="s">
        <v>134</v>
      </c>
      <c r="L27" s="8" t="s">
        <v>178</v>
      </c>
      <c r="M27" s="7" t="n">
        <v>3</v>
      </c>
      <c r="N27" s="9" t="n">
        <v>23.72</v>
      </c>
      <c r="O27" s="10" t="n">
        <v>0</v>
      </c>
      <c r="P27" s="9" t="n">
        <v>71.17</v>
      </c>
      <c r="Q27" s="9" t="n">
        <v>46.67</v>
      </c>
      <c r="R27" s="8" t="s">
        <v>40</v>
      </c>
      <c r="S27" s="8" t="s">
        <v>32</v>
      </c>
    </row>
    <row r="28" customFormat="false" ht="15" hidden="false" customHeight="true" outlineLevel="0" collapsed="false">
      <c r="A28" s="11" t="s">
        <v>199</v>
      </c>
      <c r="B28" s="12" t="s">
        <v>200</v>
      </c>
      <c r="C28" s="12" t="s">
        <v>201</v>
      </c>
      <c r="D28" s="12" t="s">
        <v>202</v>
      </c>
      <c r="E28" s="11" t="s">
        <v>203</v>
      </c>
      <c r="F28" s="11" t="s">
        <v>47</v>
      </c>
      <c r="G28" s="11" t="n">
        <v>39</v>
      </c>
      <c r="H28" s="12" t="s">
        <v>176</v>
      </c>
      <c r="I28" s="12" t="s">
        <v>177</v>
      </c>
      <c r="J28" s="12" t="s">
        <v>50</v>
      </c>
      <c r="K28" s="12" t="s">
        <v>134</v>
      </c>
      <c r="L28" s="12" t="s">
        <v>191</v>
      </c>
      <c r="M28" s="11" t="n">
        <v>3</v>
      </c>
      <c r="N28" s="13" t="n">
        <v>39.16</v>
      </c>
      <c r="O28" s="14" t="n">
        <v>0.05</v>
      </c>
      <c r="P28" s="13" t="n">
        <v>111.59</v>
      </c>
      <c r="Q28" s="13" t="n">
        <v>57.14</v>
      </c>
      <c r="R28" s="12" t="s">
        <v>72</v>
      </c>
      <c r="S28" s="12" t="s">
        <v>90</v>
      </c>
    </row>
    <row r="29" customFormat="false" ht="15" hidden="false" customHeight="true" outlineLevel="0" collapsed="false">
      <c r="A29" s="7" t="s">
        <v>204</v>
      </c>
      <c r="B29" s="8" t="s">
        <v>167</v>
      </c>
      <c r="C29" s="8" t="s">
        <v>205</v>
      </c>
      <c r="D29" s="8" t="s">
        <v>36</v>
      </c>
      <c r="E29" s="7" t="s">
        <v>206</v>
      </c>
      <c r="F29" s="7" t="s">
        <v>25</v>
      </c>
      <c r="G29" s="7" t="n">
        <v>19</v>
      </c>
      <c r="H29" s="8" t="s">
        <v>77</v>
      </c>
      <c r="I29" s="8" t="s">
        <v>78</v>
      </c>
      <c r="J29" s="8" t="s">
        <v>79</v>
      </c>
      <c r="K29" s="8" t="s">
        <v>134</v>
      </c>
      <c r="L29" s="8" t="s">
        <v>207</v>
      </c>
      <c r="M29" s="7" t="n">
        <v>1</v>
      </c>
      <c r="N29" s="9" t="n">
        <v>18.75</v>
      </c>
      <c r="O29" s="10" t="n">
        <v>0</v>
      </c>
      <c r="P29" s="9" t="n">
        <v>18.75</v>
      </c>
      <c r="Q29" s="9" t="n">
        <v>9.17</v>
      </c>
      <c r="R29" s="8" t="s">
        <v>106</v>
      </c>
      <c r="S29" s="8" t="s">
        <v>32</v>
      </c>
    </row>
    <row r="30" customFormat="false" ht="15" hidden="false" customHeight="true" outlineLevel="0" collapsed="false">
      <c r="A30" s="11" t="s">
        <v>208</v>
      </c>
      <c r="B30" s="12" t="s">
        <v>209</v>
      </c>
      <c r="C30" s="12" t="s">
        <v>210</v>
      </c>
      <c r="D30" s="12" t="s">
        <v>211</v>
      </c>
      <c r="E30" s="11" t="s">
        <v>212</v>
      </c>
      <c r="F30" s="11" t="s">
        <v>47</v>
      </c>
      <c r="G30" s="11" t="n">
        <v>28</v>
      </c>
      <c r="H30" s="12" t="s">
        <v>163</v>
      </c>
      <c r="I30" s="12" t="s">
        <v>164</v>
      </c>
      <c r="J30" s="12" t="s">
        <v>79</v>
      </c>
      <c r="K30" s="12" t="s">
        <v>104</v>
      </c>
      <c r="L30" s="12" t="s">
        <v>213</v>
      </c>
      <c r="M30" s="11" t="n">
        <v>2</v>
      </c>
      <c r="N30" s="13" t="n">
        <v>26.89</v>
      </c>
      <c r="O30" s="14" t="n">
        <v>0</v>
      </c>
      <c r="P30" s="13" t="n">
        <v>53.78</v>
      </c>
      <c r="Q30" s="13" t="n">
        <v>22.27</v>
      </c>
      <c r="R30" s="12" t="s">
        <v>40</v>
      </c>
      <c r="S30" s="12" t="s">
        <v>73</v>
      </c>
    </row>
    <row r="31" customFormat="false" ht="15" hidden="false" customHeight="true" outlineLevel="0" collapsed="false">
      <c r="A31" s="7" t="s">
        <v>214</v>
      </c>
      <c r="B31" s="8" t="s">
        <v>188</v>
      </c>
      <c r="C31" s="8" t="s">
        <v>215</v>
      </c>
      <c r="D31" s="8" t="s">
        <v>216</v>
      </c>
      <c r="E31" s="7" t="s">
        <v>206</v>
      </c>
      <c r="F31" s="7" t="s">
        <v>25</v>
      </c>
      <c r="G31" s="7" t="n">
        <v>55</v>
      </c>
      <c r="H31" s="8" t="s">
        <v>141</v>
      </c>
      <c r="I31" s="8" t="s">
        <v>142</v>
      </c>
      <c r="J31" s="8" t="s">
        <v>88</v>
      </c>
      <c r="K31" s="8" t="s">
        <v>51</v>
      </c>
      <c r="L31" s="8" t="s">
        <v>217</v>
      </c>
      <c r="M31" s="7" t="n">
        <v>10</v>
      </c>
      <c r="N31" s="9" t="n">
        <v>3587</v>
      </c>
      <c r="O31" s="10" t="n">
        <v>0.05</v>
      </c>
      <c r="P31" s="9" t="n">
        <v>34076.54</v>
      </c>
      <c r="Q31" s="9" t="n">
        <v>7186.93</v>
      </c>
      <c r="R31" s="8" t="s">
        <v>31</v>
      </c>
      <c r="S31" s="8" t="s">
        <v>63</v>
      </c>
    </row>
    <row r="32" customFormat="false" ht="15" hidden="false" customHeight="true" outlineLevel="0" collapsed="false">
      <c r="A32" s="11" t="s">
        <v>218</v>
      </c>
      <c r="B32" s="12" t="s">
        <v>219</v>
      </c>
      <c r="C32" s="12" t="s">
        <v>220</v>
      </c>
      <c r="D32" s="12" t="s">
        <v>76</v>
      </c>
      <c r="E32" s="11" t="s">
        <v>221</v>
      </c>
      <c r="F32" s="11" t="s">
        <v>25</v>
      </c>
      <c r="G32" s="11" t="n">
        <v>44</v>
      </c>
      <c r="H32" s="12" t="s">
        <v>69</v>
      </c>
      <c r="I32" s="12" t="s">
        <v>70</v>
      </c>
      <c r="J32" s="12" t="s">
        <v>50</v>
      </c>
      <c r="K32" s="12" t="s">
        <v>51</v>
      </c>
      <c r="L32" s="12" t="s">
        <v>217</v>
      </c>
      <c r="M32" s="11" t="n">
        <v>9</v>
      </c>
      <c r="N32" s="13" t="n">
        <v>3268.32</v>
      </c>
      <c r="O32" s="14" t="n">
        <v>0</v>
      </c>
      <c r="P32" s="13" t="n">
        <v>29414.91</v>
      </c>
      <c r="Q32" s="13" t="n">
        <v>5355.52</v>
      </c>
      <c r="R32" s="12" t="s">
        <v>31</v>
      </c>
      <c r="S32" s="12" t="s">
        <v>90</v>
      </c>
    </row>
    <row r="33" customFormat="false" ht="15" hidden="false" customHeight="true" outlineLevel="0" collapsed="false">
      <c r="A33" s="7" t="s">
        <v>222</v>
      </c>
      <c r="B33" s="8" t="s">
        <v>223</v>
      </c>
      <c r="C33" s="8" t="s">
        <v>224</v>
      </c>
      <c r="D33" s="8" t="s">
        <v>132</v>
      </c>
      <c r="E33" s="7" t="s">
        <v>133</v>
      </c>
      <c r="F33" s="7" t="s">
        <v>47</v>
      </c>
      <c r="G33" s="7" t="n">
        <v>47</v>
      </c>
      <c r="H33" s="8" t="s">
        <v>48</v>
      </c>
      <c r="I33" s="8" t="s">
        <v>49</v>
      </c>
      <c r="J33" s="8" t="s">
        <v>50</v>
      </c>
      <c r="K33" s="8" t="s">
        <v>134</v>
      </c>
      <c r="L33" s="8" t="s">
        <v>191</v>
      </c>
      <c r="M33" s="7" t="n">
        <v>3</v>
      </c>
      <c r="N33" s="9" t="n">
        <v>51.46</v>
      </c>
      <c r="O33" s="10" t="n">
        <v>0.15</v>
      </c>
      <c r="P33" s="9" t="n">
        <v>131.22</v>
      </c>
      <c r="Q33" s="9" t="n">
        <v>65.53</v>
      </c>
      <c r="R33" s="8" t="s">
        <v>144</v>
      </c>
      <c r="S33" s="8" t="s">
        <v>128</v>
      </c>
    </row>
    <row r="34" customFormat="false" ht="15" hidden="false" customHeight="true" outlineLevel="0" collapsed="false">
      <c r="A34" s="11" t="s">
        <v>225</v>
      </c>
      <c r="B34" s="12" t="s">
        <v>226</v>
      </c>
      <c r="C34" s="12" t="s">
        <v>227</v>
      </c>
      <c r="D34" s="12" t="s">
        <v>110</v>
      </c>
      <c r="E34" s="11" t="s">
        <v>228</v>
      </c>
      <c r="F34" s="11" t="s">
        <v>47</v>
      </c>
      <c r="G34" s="11" t="n">
        <v>19</v>
      </c>
      <c r="H34" s="12" t="s">
        <v>86</v>
      </c>
      <c r="I34" s="12" t="s">
        <v>87</v>
      </c>
      <c r="J34" s="12" t="s">
        <v>88</v>
      </c>
      <c r="K34" s="12" t="s">
        <v>104</v>
      </c>
      <c r="L34" s="12" t="s">
        <v>229</v>
      </c>
      <c r="M34" s="11" t="n">
        <v>8</v>
      </c>
      <c r="N34" s="13" t="n">
        <v>56.85</v>
      </c>
      <c r="O34" s="14" t="n">
        <v>0.05</v>
      </c>
      <c r="P34" s="13" t="n">
        <v>432.08</v>
      </c>
      <c r="Q34" s="13" t="n">
        <v>186.54</v>
      </c>
      <c r="R34" s="12" t="s">
        <v>72</v>
      </c>
      <c r="S34" s="12" t="s">
        <v>54</v>
      </c>
    </row>
    <row r="35" customFormat="false" ht="15" hidden="false" customHeight="true" outlineLevel="0" collapsed="false">
      <c r="A35" s="7" t="s">
        <v>230</v>
      </c>
      <c r="B35" s="8" t="s">
        <v>231</v>
      </c>
      <c r="C35" s="8" t="s">
        <v>232</v>
      </c>
      <c r="D35" s="8" t="s">
        <v>233</v>
      </c>
      <c r="E35" s="7" t="s">
        <v>234</v>
      </c>
      <c r="F35" s="7" t="s">
        <v>25</v>
      </c>
      <c r="G35" s="7" t="n">
        <v>51</v>
      </c>
      <c r="H35" s="8" t="s">
        <v>59</v>
      </c>
      <c r="I35" s="8" t="s">
        <v>60</v>
      </c>
      <c r="J35" s="8" t="s">
        <v>50</v>
      </c>
      <c r="K35" s="8" t="s">
        <v>61</v>
      </c>
      <c r="L35" s="8" t="s">
        <v>235</v>
      </c>
      <c r="M35" s="7" t="n">
        <v>5</v>
      </c>
      <c r="N35" s="9" t="n">
        <v>42.07</v>
      </c>
      <c r="O35" s="10" t="n">
        <v>0.15</v>
      </c>
      <c r="P35" s="9" t="n">
        <v>178.82</v>
      </c>
      <c r="Q35" s="9" t="n">
        <v>65.92</v>
      </c>
      <c r="R35" s="8" t="s">
        <v>31</v>
      </c>
      <c r="S35" s="8" t="s">
        <v>41</v>
      </c>
    </row>
    <row r="36" customFormat="false" ht="15" hidden="false" customHeight="true" outlineLevel="0" collapsed="false">
      <c r="A36" s="11" t="s">
        <v>236</v>
      </c>
      <c r="B36" s="12" t="s">
        <v>237</v>
      </c>
      <c r="C36" s="12" t="s">
        <v>238</v>
      </c>
      <c r="D36" s="12" t="s">
        <v>239</v>
      </c>
      <c r="E36" s="11" t="s">
        <v>206</v>
      </c>
      <c r="F36" s="11" t="s">
        <v>47</v>
      </c>
      <c r="G36" s="11" t="n">
        <v>62</v>
      </c>
      <c r="H36" s="12" t="s">
        <v>163</v>
      </c>
      <c r="I36" s="12" t="s">
        <v>164</v>
      </c>
      <c r="J36" s="12" t="s">
        <v>79</v>
      </c>
      <c r="K36" s="12" t="s">
        <v>29</v>
      </c>
      <c r="L36" s="12" t="s">
        <v>240</v>
      </c>
      <c r="M36" s="11" t="n">
        <v>8</v>
      </c>
      <c r="N36" s="13" t="n">
        <v>72.05</v>
      </c>
      <c r="O36" s="14" t="n">
        <v>0</v>
      </c>
      <c r="P36" s="13" t="n">
        <v>576.39</v>
      </c>
      <c r="Q36" s="13" t="n">
        <v>183.38</v>
      </c>
      <c r="R36" s="12" t="s">
        <v>72</v>
      </c>
      <c r="S36" s="12" t="s">
        <v>128</v>
      </c>
    </row>
    <row r="37" customFormat="false" ht="15" hidden="false" customHeight="true" outlineLevel="0" collapsed="false">
      <c r="A37" s="7" t="s">
        <v>241</v>
      </c>
      <c r="B37" s="8" t="s">
        <v>242</v>
      </c>
      <c r="C37" s="8" t="s">
        <v>224</v>
      </c>
      <c r="D37" s="8" t="s">
        <v>243</v>
      </c>
      <c r="E37" s="7" t="s">
        <v>37</v>
      </c>
      <c r="F37" s="7" t="s">
        <v>47</v>
      </c>
      <c r="G37" s="7" t="n">
        <v>32</v>
      </c>
      <c r="H37" s="8" t="s">
        <v>48</v>
      </c>
      <c r="I37" s="8" t="s">
        <v>49</v>
      </c>
      <c r="J37" s="8" t="s">
        <v>50</v>
      </c>
      <c r="K37" s="8" t="s">
        <v>29</v>
      </c>
      <c r="L37" s="8" t="s">
        <v>244</v>
      </c>
      <c r="M37" s="7" t="n">
        <v>9</v>
      </c>
      <c r="N37" s="9" t="n">
        <v>54.03</v>
      </c>
      <c r="O37" s="10" t="n">
        <v>0.15</v>
      </c>
      <c r="P37" s="9" t="n">
        <v>413.31</v>
      </c>
      <c r="Q37" s="9" t="n">
        <v>154.15</v>
      </c>
      <c r="R37" s="8" t="s">
        <v>144</v>
      </c>
      <c r="S37" s="8" t="s">
        <v>41</v>
      </c>
    </row>
    <row r="38" customFormat="false" ht="15" hidden="false" customHeight="true" outlineLevel="0" collapsed="false">
      <c r="A38" s="11" t="s">
        <v>245</v>
      </c>
      <c r="B38" s="12" t="s">
        <v>246</v>
      </c>
      <c r="C38" s="12" t="s">
        <v>247</v>
      </c>
      <c r="D38" s="12" t="s">
        <v>248</v>
      </c>
      <c r="E38" s="11" t="s">
        <v>234</v>
      </c>
      <c r="F38" s="11" t="s">
        <v>47</v>
      </c>
      <c r="G38" s="11" t="n">
        <v>24</v>
      </c>
      <c r="H38" s="12" t="s">
        <v>190</v>
      </c>
      <c r="I38" s="12" t="s">
        <v>142</v>
      </c>
      <c r="J38" s="12" t="s">
        <v>88</v>
      </c>
      <c r="K38" s="12" t="s">
        <v>112</v>
      </c>
      <c r="L38" s="12" t="s">
        <v>158</v>
      </c>
      <c r="M38" s="11" t="n">
        <v>4</v>
      </c>
      <c r="N38" s="13" t="n">
        <v>68.73</v>
      </c>
      <c r="O38" s="14" t="n">
        <v>0</v>
      </c>
      <c r="P38" s="13" t="n">
        <v>274.91</v>
      </c>
      <c r="Q38" s="13" t="n">
        <v>179.76</v>
      </c>
      <c r="R38" s="12" t="s">
        <v>72</v>
      </c>
      <c r="S38" s="12" t="s">
        <v>41</v>
      </c>
    </row>
    <row r="39" customFormat="false" ht="15" hidden="false" customHeight="true" outlineLevel="0" collapsed="false">
      <c r="A39" s="7" t="s">
        <v>249</v>
      </c>
      <c r="B39" s="8" t="s">
        <v>250</v>
      </c>
      <c r="C39" s="8" t="s">
        <v>251</v>
      </c>
      <c r="D39" s="8" t="s">
        <v>252</v>
      </c>
      <c r="E39" s="7" t="s">
        <v>253</v>
      </c>
      <c r="F39" s="7" t="s">
        <v>47</v>
      </c>
      <c r="G39" s="7" t="n">
        <v>24</v>
      </c>
      <c r="H39" s="8" t="s">
        <v>77</v>
      </c>
      <c r="I39" s="8" t="s">
        <v>78</v>
      </c>
      <c r="J39" s="8" t="s">
        <v>79</v>
      </c>
      <c r="K39" s="8" t="s">
        <v>61</v>
      </c>
      <c r="L39" s="8" t="s">
        <v>254</v>
      </c>
      <c r="M39" s="7" t="n">
        <v>3</v>
      </c>
      <c r="N39" s="9" t="n">
        <v>76.78</v>
      </c>
      <c r="O39" s="10" t="n">
        <v>0</v>
      </c>
      <c r="P39" s="9" t="n">
        <v>230.33</v>
      </c>
      <c r="Q39" s="9" t="n">
        <v>75.28</v>
      </c>
      <c r="R39" s="8" t="s">
        <v>40</v>
      </c>
      <c r="S39" s="8" t="s">
        <v>63</v>
      </c>
    </row>
    <row r="40" customFormat="false" ht="15" hidden="false" customHeight="true" outlineLevel="0" collapsed="false">
      <c r="A40" s="11" t="s">
        <v>255</v>
      </c>
      <c r="B40" s="12" t="s">
        <v>256</v>
      </c>
      <c r="C40" s="12" t="s">
        <v>257</v>
      </c>
      <c r="D40" s="12" t="s">
        <v>36</v>
      </c>
      <c r="E40" s="11" t="s">
        <v>258</v>
      </c>
      <c r="F40" s="11" t="s">
        <v>47</v>
      </c>
      <c r="G40" s="11" t="n">
        <v>49</v>
      </c>
      <c r="H40" s="12" t="s">
        <v>125</v>
      </c>
      <c r="I40" s="12" t="s">
        <v>126</v>
      </c>
      <c r="J40" s="12" t="s">
        <v>88</v>
      </c>
      <c r="K40" s="12" t="s">
        <v>134</v>
      </c>
      <c r="L40" s="12" t="s">
        <v>178</v>
      </c>
      <c r="M40" s="11" t="n">
        <v>1</v>
      </c>
      <c r="N40" s="13" t="n">
        <v>19.02</v>
      </c>
      <c r="O40" s="14" t="n">
        <v>0.2</v>
      </c>
      <c r="P40" s="13" t="n">
        <v>15.22</v>
      </c>
      <c r="Q40" s="13" t="n">
        <v>8.3</v>
      </c>
      <c r="R40" s="12" t="s">
        <v>40</v>
      </c>
      <c r="S40" s="12" t="s">
        <v>32</v>
      </c>
    </row>
    <row r="41" customFormat="false" ht="15" hidden="false" customHeight="true" outlineLevel="0" collapsed="false">
      <c r="A41" s="7" t="s">
        <v>259</v>
      </c>
      <c r="B41" s="8" t="s">
        <v>187</v>
      </c>
      <c r="C41" s="8" t="s">
        <v>260</v>
      </c>
      <c r="D41" s="8" t="s">
        <v>124</v>
      </c>
      <c r="E41" s="7" t="s">
        <v>203</v>
      </c>
      <c r="F41" s="7" t="s">
        <v>25</v>
      </c>
      <c r="G41" s="7" t="n">
        <v>51</v>
      </c>
      <c r="H41" s="8" t="s">
        <v>156</v>
      </c>
      <c r="I41" s="8" t="s">
        <v>157</v>
      </c>
      <c r="J41" s="8" t="s">
        <v>28</v>
      </c>
      <c r="K41" s="8" t="s">
        <v>29</v>
      </c>
      <c r="L41" s="8" t="s">
        <v>261</v>
      </c>
      <c r="M41" s="7" t="n">
        <v>4</v>
      </c>
      <c r="N41" s="9" t="n">
        <v>40.38</v>
      </c>
      <c r="O41" s="10" t="n">
        <v>0.2</v>
      </c>
      <c r="P41" s="9" t="n">
        <v>129.22</v>
      </c>
      <c r="Q41" s="9" t="n">
        <v>47.46</v>
      </c>
      <c r="R41" s="8" t="s">
        <v>53</v>
      </c>
      <c r="S41" s="8" t="s">
        <v>80</v>
      </c>
    </row>
    <row r="42" customFormat="false" ht="15" hidden="false" customHeight="true" outlineLevel="0" collapsed="false">
      <c r="A42" s="11" t="s">
        <v>262</v>
      </c>
      <c r="B42" s="12" t="s">
        <v>263</v>
      </c>
      <c r="C42" s="12" t="s">
        <v>264</v>
      </c>
      <c r="D42" s="12" t="s">
        <v>45</v>
      </c>
      <c r="E42" s="11" t="s">
        <v>265</v>
      </c>
      <c r="F42" s="11" t="s">
        <v>25</v>
      </c>
      <c r="G42" s="11" t="n">
        <v>34</v>
      </c>
      <c r="H42" s="12" t="s">
        <v>266</v>
      </c>
      <c r="I42" s="12" t="s">
        <v>78</v>
      </c>
      <c r="J42" s="12" t="s">
        <v>79</v>
      </c>
      <c r="K42" s="12" t="s">
        <v>134</v>
      </c>
      <c r="L42" s="12" t="s">
        <v>267</v>
      </c>
      <c r="M42" s="11" t="n">
        <v>10</v>
      </c>
      <c r="N42" s="13" t="n">
        <v>19.23</v>
      </c>
      <c r="O42" s="14" t="n">
        <v>0.15</v>
      </c>
      <c r="P42" s="13" t="n">
        <v>163.46</v>
      </c>
      <c r="Q42" s="13" t="n">
        <v>75.49</v>
      </c>
      <c r="R42" s="12" t="s">
        <v>106</v>
      </c>
      <c r="S42" s="12" t="s">
        <v>41</v>
      </c>
    </row>
    <row r="43" customFormat="false" ht="15" hidden="false" customHeight="true" outlineLevel="0" collapsed="false">
      <c r="A43" s="7" t="s">
        <v>268</v>
      </c>
      <c r="B43" s="8" t="s">
        <v>269</v>
      </c>
      <c r="C43" s="8" t="s">
        <v>270</v>
      </c>
      <c r="D43" s="8" t="s">
        <v>271</v>
      </c>
      <c r="E43" s="7" t="s">
        <v>272</v>
      </c>
      <c r="F43" s="7" t="s">
        <v>25</v>
      </c>
      <c r="G43" s="7" t="n">
        <v>36</v>
      </c>
      <c r="H43" s="8" t="s">
        <v>119</v>
      </c>
      <c r="I43" s="8" t="s">
        <v>119</v>
      </c>
      <c r="J43" s="8" t="s">
        <v>28</v>
      </c>
      <c r="K43" s="8" t="s">
        <v>51</v>
      </c>
      <c r="L43" s="8" t="s">
        <v>273</v>
      </c>
      <c r="M43" s="7" t="n">
        <v>7</v>
      </c>
      <c r="N43" s="9" t="n">
        <v>618.12</v>
      </c>
      <c r="O43" s="10" t="n">
        <v>0.1</v>
      </c>
      <c r="P43" s="9" t="n">
        <v>3894.16</v>
      </c>
      <c r="Q43" s="9" t="n">
        <v>846.4</v>
      </c>
      <c r="R43" s="8" t="s">
        <v>144</v>
      </c>
      <c r="S43" s="8" t="s">
        <v>80</v>
      </c>
    </row>
    <row r="44" customFormat="false" ht="15" hidden="false" customHeight="true" outlineLevel="0" collapsed="false">
      <c r="A44" s="11" t="s">
        <v>274</v>
      </c>
      <c r="B44" s="12" t="s">
        <v>275</v>
      </c>
      <c r="C44" s="12" t="s">
        <v>276</v>
      </c>
      <c r="D44" s="12" t="s">
        <v>277</v>
      </c>
      <c r="E44" s="11" t="s">
        <v>258</v>
      </c>
      <c r="F44" s="11" t="s">
        <v>47</v>
      </c>
      <c r="G44" s="11" t="n">
        <v>27</v>
      </c>
      <c r="H44" s="12" t="s">
        <v>266</v>
      </c>
      <c r="I44" s="12" t="s">
        <v>78</v>
      </c>
      <c r="J44" s="12" t="s">
        <v>79</v>
      </c>
      <c r="K44" s="12" t="s">
        <v>104</v>
      </c>
      <c r="L44" s="12" t="s">
        <v>151</v>
      </c>
      <c r="M44" s="11" t="n">
        <v>4</v>
      </c>
      <c r="N44" s="13" t="n">
        <v>56.1</v>
      </c>
      <c r="O44" s="14" t="n">
        <v>0.1</v>
      </c>
      <c r="P44" s="13" t="n">
        <v>201.97</v>
      </c>
      <c r="Q44" s="13" t="n">
        <v>75.49</v>
      </c>
      <c r="R44" s="12" t="s">
        <v>31</v>
      </c>
      <c r="S44" s="12" t="s">
        <v>54</v>
      </c>
    </row>
    <row r="45" customFormat="false" ht="15" hidden="false" customHeight="true" outlineLevel="0" collapsed="false">
      <c r="A45" s="7" t="s">
        <v>278</v>
      </c>
      <c r="B45" s="8" t="s">
        <v>279</v>
      </c>
      <c r="C45" s="8" t="s">
        <v>122</v>
      </c>
      <c r="D45" s="8" t="s">
        <v>182</v>
      </c>
      <c r="E45" s="7" t="s">
        <v>265</v>
      </c>
      <c r="F45" s="7" t="s">
        <v>47</v>
      </c>
      <c r="G45" s="7" t="n">
        <v>46</v>
      </c>
      <c r="H45" s="8" t="s">
        <v>176</v>
      </c>
      <c r="I45" s="8" t="s">
        <v>177</v>
      </c>
      <c r="J45" s="8" t="s">
        <v>50</v>
      </c>
      <c r="K45" s="8" t="s">
        <v>112</v>
      </c>
      <c r="L45" s="8" t="s">
        <v>280</v>
      </c>
      <c r="M45" s="7" t="n">
        <v>2</v>
      </c>
      <c r="N45" s="9" t="n">
        <v>18.67</v>
      </c>
      <c r="O45" s="10" t="n">
        <v>0</v>
      </c>
      <c r="P45" s="9" t="n">
        <v>37.35</v>
      </c>
      <c r="Q45" s="9" t="n">
        <v>24.2</v>
      </c>
      <c r="R45" s="8" t="s">
        <v>40</v>
      </c>
      <c r="S45" s="8" t="s">
        <v>32</v>
      </c>
    </row>
    <row r="46" customFormat="false" ht="15" hidden="false" customHeight="true" outlineLevel="0" collapsed="false">
      <c r="A46" s="11" t="s">
        <v>281</v>
      </c>
      <c r="B46" s="12" t="s">
        <v>282</v>
      </c>
      <c r="C46" s="12" t="s">
        <v>283</v>
      </c>
      <c r="D46" s="12" t="s">
        <v>161</v>
      </c>
      <c r="E46" s="11" t="s">
        <v>284</v>
      </c>
      <c r="F46" s="11" t="s">
        <v>25</v>
      </c>
      <c r="G46" s="11" t="n">
        <v>61</v>
      </c>
      <c r="H46" s="12" t="s">
        <v>119</v>
      </c>
      <c r="I46" s="12" t="s">
        <v>119</v>
      </c>
      <c r="J46" s="12" t="s">
        <v>28</v>
      </c>
      <c r="K46" s="12" t="s">
        <v>61</v>
      </c>
      <c r="L46" s="12" t="s">
        <v>235</v>
      </c>
      <c r="M46" s="11" t="n">
        <v>2</v>
      </c>
      <c r="N46" s="13" t="n">
        <v>32.95</v>
      </c>
      <c r="O46" s="14" t="n">
        <v>0.15</v>
      </c>
      <c r="P46" s="13" t="n">
        <v>56.02</v>
      </c>
      <c r="Q46" s="13" t="n">
        <v>20.34</v>
      </c>
      <c r="R46" s="12" t="s">
        <v>40</v>
      </c>
      <c r="S46" s="12" t="s">
        <v>32</v>
      </c>
    </row>
    <row r="47" customFormat="false" ht="15" hidden="false" customHeight="true" outlineLevel="0" collapsed="false">
      <c r="A47" s="7" t="s">
        <v>285</v>
      </c>
      <c r="B47" s="8" t="s">
        <v>286</v>
      </c>
      <c r="C47" s="8" t="s">
        <v>270</v>
      </c>
      <c r="D47" s="8" t="s">
        <v>73</v>
      </c>
      <c r="E47" s="7" t="s">
        <v>287</v>
      </c>
      <c r="F47" s="7" t="s">
        <v>25</v>
      </c>
      <c r="G47" s="7" t="n">
        <v>48</v>
      </c>
      <c r="H47" s="8" t="s">
        <v>86</v>
      </c>
      <c r="I47" s="8" t="s">
        <v>87</v>
      </c>
      <c r="J47" s="8" t="s">
        <v>88</v>
      </c>
      <c r="K47" s="8" t="s">
        <v>29</v>
      </c>
      <c r="L47" s="8" t="s">
        <v>30</v>
      </c>
      <c r="M47" s="7" t="n">
        <v>3</v>
      </c>
      <c r="N47" s="9" t="n">
        <v>112.39</v>
      </c>
      <c r="O47" s="10" t="n">
        <v>0.05</v>
      </c>
      <c r="P47" s="9" t="n">
        <v>320.31</v>
      </c>
      <c r="Q47" s="9" t="n">
        <v>128.28</v>
      </c>
      <c r="R47" s="8" t="s">
        <v>53</v>
      </c>
      <c r="S47" s="8" t="s">
        <v>96</v>
      </c>
    </row>
    <row r="48" customFormat="false" ht="15" hidden="false" customHeight="true" outlineLevel="0" collapsed="false">
      <c r="A48" s="11" t="s">
        <v>288</v>
      </c>
      <c r="B48" s="12" t="s">
        <v>264</v>
      </c>
      <c r="C48" s="12" t="s">
        <v>289</v>
      </c>
      <c r="D48" s="12" t="s">
        <v>290</v>
      </c>
      <c r="E48" s="11" t="s">
        <v>291</v>
      </c>
      <c r="F48" s="11" t="s">
        <v>25</v>
      </c>
      <c r="G48" s="11" t="n">
        <v>47</v>
      </c>
      <c r="H48" s="12" t="s">
        <v>59</v>
      </c>
      <c r="I48" s="12" t="s">
        <v>60</v>
      </c>
      <c r="J48" s="12" t="s">
        <v>50</v>
      </c>
      <c r="K48" s="12" t="s">
        <v>51</v>
      </c>
      <c r="L48" s="12" t="s">
        <v>273</v>
      </c>
      <c r="M48" s="11" t="n">
        <v>7</v>
      </c>
      <c r="N48" s="13" t="n">
        <v>676.48</v>
      </c>
      <c r="O48" s="14" t="n">
        <v>0</v>
      </c>
      <c r="P48" s="13" t="n">
        <v>4735.37</v>
      </c>
      <c r="Q48" s="13" t="n">
        <v>1109.53</v>
      </c>
      <c r="R48" s="12" t="s">
        <v>72</v>
      </c>
      <c r="S48" s="12" t="s">
        <v>63</v>
      </c>
    </row>
    <row r="49" customFormat="false" ht="15" hidden="false" customHeight="true" outlineLevel="0" collapsed="false">
      <c r="A49" s="7" t="s">
        <v>292</v>
      </c>
      <c r="B49" s="8" t="s">
        <v>247</v>
      </c>
      <c r="C49" s="8" t="s">
        <v>122</v>
      </c>
      <c r="D49" s="8" t="s">
        <v>100</v>
      </c>
      <c r="E49" s="7" t="s">
        <v>85</v>
      </c>
      <c r="F49" s="7" t="s">
        <v>47</v>
      </c>
      <c r="G49" s="7" t="n">
        <v>58</v>
      </c>
      <c r="H49" s="8" t="s">
        <v>77</v>
      </c>
      <c r="I49" s="8" t="s">
        <v>78</v>
      </c>
      <c r="J49" s="8" t="s">
        <v>79</v>
      </c>
      <c r="K49" s="8" t="s">
        <v>134</v>
      </c>
      <c r="L49" s="8" t="s">
        <v>207</v>
      </c>
      <c r="M49" s="7" t="n">
        <v>8</v>
      </c>
      <c r="N49" s="9" t="n">
        <v>15.23</v>
      </c>
      <c r="O49" s="10" t="n">
        <v>0</v>
      </c>
      <c r="P49" s="9" t="n">
        <v>121.84</v>
      </c>
      <c r="Q49" s="9" t="n">
        <v>67.51</v>
      </c>
      <c r="R49" s="8" t="s">
        <v>31</v>
      </c>
      <c r="S49" s="8" t="s">
        <v>41</v>
      </c>
    </row>
    <row r="50" customFormat="false" ht="15" hidden="false" customHeight="true" outlineLevel="0" collapsed="false">
      <c r="A50" s="11" t="s">
        <v>293</v>
      </c>
      <c r="B50" s="12" t="s">
        <v>294</v>
      </c>
      <c r="C50" s="12" t="s">
        <v>295</v>
      </c>
      <c r="D50" s="12" t="s">
        <v>296</v>
      </c>
      <c r="E50" s="11" t="s">
        <v>68</v>
      </c>
      <c r="F50" s="11" t="s">
        <v>25</v>
      </c>
      <c r="G50" s="11" t="n">
        <v>37</v>
      </c>
      <c r="H50" s="12" t="s">
        <v>176</v>
      </c>
      <c r="I50" s="12" t="s">
        <v>177</v>
      </c>
      <c r="J50" s="12" t="s">
        <v>50</v>
      </c>
      <c r="K50" s="12" t="s">
        <v>104</v>
      </c>
      <c r="L50" s="12" t="s">
        <v>151</v>
      </c>
      <c r="M50" s="11" t="n">
        <v>8</v>
      </c>
      <c r="N50" s="13" t="n">
        <v>49.42</v>
      </c>
      <c r="O50" s="14" t="n">
        <v>0.15</v>
      </c>
      <c r="P50" s="13" t="n">
        <v>336.07</v>
      </c>
      <c r="Q50" s="13" t="n">
        <v>147.3</v>
      </c>
      <c r="R50" s="12" t="s">
        <v>31</v>
      </c>
      <c r="S50" s="12" t="s">
        <v>120</v>
      </c>
    </row>
    <row r="51" customFormat="false" ht="15" hidden="false" customHeight="true" outlineLevel="0" collapsed="false">
      <c r="A51" s="7" t="s">
        <v>297</v>
      </c>
      <c r="B51" s="8" t="s">
        <v>237</v>
      </c>
      <c r="C51" s="8" t="s">
        <v>298</v>
      </c>
      <c r="D51" s="8" t="s">
        <v>139</v>
      </c>
      <c r="E51" s="7" t="s">
        <v>299</v>
      </c>
      <c r="F51" s="7" t="s">
        <v>47</v>
      </c>
      <c r="G51" s="7" t="n">
        <v>44</v>
      </c>
      <c r="H51" s="8" t="s">
        <v>176</v>
      </c>
      <c r="I51" s="8" t="s">
        <v>177</v>
      </c>
      <c r="J51" s="8" t="s">
        <v>50</v>
      </c>
      <c r="K51" s="8" t="s">
        <v>104</v>
      </c>
      <c r="L51" s="8" t="s">
        <v>229</v>
      </c>
      <c r="M51" s="7" t="n">
        <v>2</v>
      </c>
      <c r="N51" s="9" t="n">
        <v>66.55</v>
      </c>
      <c r="O51" s="10" t="n">
        <v>0</v>
      </c>
      <c r="P51" s="9" t="n">
        <v>133.09</v>
      </c>
      <c r="Q51" s="9" t="n">
        <v>55.86</v>
      </c>
      <c r="R51" s="8" t="s">
        <v>53</v>
      </c>
      <c r="S51" s="8" t="s">
        <v>41</v>
      </c>
    </row>
    <row r="52" customFormat="false" ht="15" hidden="false" customHeight="true" outlineLevel="0" collapsed="false">
      <c r="A52" s="11" t="s">
        <v>300</v>
      </c>
      <c r="B52" s="12" t="s">
        <v>172</v>
      </c>
      <c r="C52" s="12" t="s">
        <v>301</v>
      </c>
      <c r="D52" s="12" t="s">
        <v>117</v>
      </c>
      <c r="E52" s="11" t="s">
        <v>302</v>
      </c>
      <c r="F52" s="11" t="s">
        <v>47</v>
      </c>
      <c r="G52" s="11" t="n">
        <v>39</v>
      </c>
      <c r="H52" s="12" t="s">
        <v>190</v>
      </c>
      <c r="I52" s="12" t="s">
        <v>142</v>
      </c>
      <c r="J52" s="12" t="s">
        <v>88</v>
      </c>
      <c r="K52" s="12" t="s">
        <v>104</v>
      </c>
      <c r="L52" s="12" t="s">
        <v>303</v>
      </c>
      <c r="M52" s="11" t="n">
        <v>10</v>
      </c>
      <c r="N52" s="13" t="n">
        <v>105.33</v>
      </c>
      <c r="O52" s="14" t="n">
        <v>0</v>
      </c>
      <c r="P52" s="13" t="n">
        <v>1053.3</v>
      </c>
      <c r="Q52" s="13" t="n">
        <v>506.8</v>
      </c>
      <c r="R52" s="12" t="s">
        <v>72</v>
      </c>
      <c r="S52" s="12" t="s">
        <v>32</v>
      </c>
    </row>
    <row r="53" customFormat="false" ht="15" hidden="false" customHeight="true" outlineLevel="0" collapsed="false">
      <c r="A53" s="7" t="s">
        <v>304</v>
      </c>
      <c r="B53" s="8" t="s">
        <v>305</v>
      </c>
      <c r="C53" s="8" t="s">
        <v>306</v>
      </c>
      <c r="D53" s="8" t="s">
        <v>23</v>
      </c>
      <c r="E53" s="7" t="s">
        <v>307</v>
      </c>
      <c r="F53" s="7" t="s">
        <v>47</v>
      </c>
      <c r="G53" s="7" t="n">
        <v>47</v>
      </c>
      <c r="H53" s="8" t="s">
        <v>26</v>
      </c>
      <c r="I53" s="8" t="s">
        <v>27</v>
      </c>
      <c r="J53" s="8" t="s">
        <v>28</v>
      </c>
      <c r="K53" s="8" t="s">
        <v>61</v>
      </c>
      <c r="L53" s="8" t="s">
        <v>62</v>
      </c>
      <c r="M53" s="7" t="n">
        <v>8</v>
      </c>
      <c r="N53" s="9" t="n">
        <v>47.94</v>
      </c>
      <c r="O53" s="10" t="n">
        <v>0</v>
      </c>
      <c r="P53" s="9" t="n">
        <v>383.56</v>
      </c>
      <c r="Q53" s="9" t="n">
        <v>114.51</v>
      </c>
      <c r="R53" s="8" t="s">
        <v>106</v>
      </c>
      <c r="S53" s="8" t="s">
        <v>41</v>
      </c>
    </row>
    <row r="54" customFormat="false" ht="15" hidden="false" customHeight="true" outlineLevel="0" collapsed="false">
      <c r="A54" s="11" t="s">
        <v>308</v>
      </c>
      <c r="B54" s="12" t="s">
        <v>309</v>
      </c>
      <c r="C54" s="12" t="s">
        <v>310</v>
      </c>
      <c r="D54" s="12" t="s">
        <v>110</v>
      </c>
      <c r="E54" s="11" t="s">
        <v>311</v>
      </c>
      <c r="F54" s="11" t="s">
        <v>47</v>
      </c>
      <c r="G54" s="11" t="n">
        <v>60</v>
      </c>
      <c r="H54" s="12" t="s">
        <v>38</v>
      </c>
      <c r="I54" s="12" t="s">
        <v>27</v>
      </c>
      <c r="J54" s="12" t="s">
        <v>28</v>
      </c>
      <c r="K54" s="12" t="s">
        <v>104</v>
      </c>
      <c r="L54" s="12" t="s">
        <v>303</v>
      </c>
      <c r="M54" s="11" t="n">
        <v>6</v>
      </c>
      <c r="N54" s="13" t="n">
        <v>114.79</v>
      </c>
      <c r="O54" s="14" t="n">
        <v>0.15</v>
      </c>
      <c r="P54" s="13" t="n">
        <v>585.42</v>
      </c>
      <c r="Q54" s="13" t="n">
        <v>286.54</v>
      </c>
      <c r="R54" s="12" t="s">
        <v>53</v>
      </c>
      <c r="S54" s="12" t="s">
        <v>32</v>
      </c>
    </row>
    <row r="55" customFormat="false" ht="15" hidden="false" customHeight="true" outlineLevel="0" collapsed="false">
      <c r="A55" s="7" t="s">
        <v>312</v>
      </c>
      <c r="B55" s="8" t="s">
        <v>313</v>
      </c>
      <c r="C55" s="8" t="s">
        <v>66</v>
      </c>
      <c r="D55" s="8" t="s">
        <v>94</v>
      </c>
      <c r="E55" s="7" t="s">
        <v>311</v>
      </c>
      <c r="F55" s="7" t="s">
        <v>47</v>
      </c>
      <c r="G55" s="7" t="n">
        <v>59</v>
      </c>
      <c r="H55" s="8" t="s">
        <v>102</v>
      </c>
      <c r="I55" s="8" t="s">
        <v>103</v>
      </c>
      <c r="J55" s="8" t="s">
        <v>28</v>
      </c>
      <c r="K55" s="8" t="s">
        <v>29</v>
      </c>
      <c r="L55" s="8" t="s">
        <v>244</v>
      </c>
      <c r="M55" s="7" t="n">
        <v>8</v>
      </c>
      <c r="N55" s="9" t="n">
        <v>48.94</v>
      </c>
      <c r="O55" s="10" t="n">
        <v>0.05</v>
      </c>
      <c r="P55" s="9" t="n">
        <v>371.97</v>
      </c>
      <c r="Q55" s="9" t="n">
        <v>113.95</v>
      </c>
      <c r="R55" s="8" t="s">
        <v>31</v>
      </c>
      <c r="S55" s="8" t="s">
        <v>80</v>
      </c>
    </row>
    <row r="56" customFormat="false" ht="15" hidden="false" customHeight="true" outlineLevel="0" collapsed="false">
      <c r="A56" s="11" t="s">
        <v>314</v>
      </c>
      <c r="B56" s="12" t="s">
        <v>315</v>
      </c>
      <c r="C56" s="12" t="s">
        <v>316</v>
      </c>
      <c r="D56" s="12" t="s">
        <v>317</v>
      </c>
      <c r="E56" s="11" t="s">
        <v>318</v>
      </c>
      <c r="F56" s="11" t="s">
        <v>47</v>
      </c>
      <c r="G56" s="11" t="n">
        <v>52</v>
      </c>
      <c r="H56" s="12" t="s">
        <v>156</v>
      </c>
      <c r="I56" s="12" t="s">
        <v>157</v>
      </c>
      <c r="J56" s="12" t="s">
        <v>28</v>
      </c>
      <c r="K56" s="12" t="s">
        <v>29</v>
      </c>
      <c r="L56" s="12" t="s">
        <v>194</v>
      </c>
      <c r="M56" s="11" t="n">
        <v>6</v>
      </c>
      <c r="N56" s="13" t="n">
        <v>23.82</v>
      </c>
      <c r="O56" s="14" t="n">
        <v>0.2</v>
      </c>
      <c r="P56" s="13" t="n">
        <v>114.33</v>
      </c>
      <c r="Q56" s="13" t="n">
        <v>44.03</v>
      </c>
      <c r="R56" s="12" t="s">
        <v>40</v>
      </c>
      <c r="S56" s="12" t="s">
        <v>73</v>
      </c>
    </row>
    <row r="57" customFormat="false" ht="15" hidden="false" customHeight="true" outlineLevel="0" collapsed="false">
      <c r="A57" s="7" t="s">
        <v>319</v>
      </c>
      <c r="B57" s="8" t="s">
        <v>320</v>
      </c>
      <c r="C57" s="8" t="s">
        <v>205</v>
      </c>
      <c r="D57" s="8" t="s">
        <v>57</v>
      </c>
      <c r="E57" s="7" t="s">
        <v>321</v>
      </c>
      <c r="F57" s="7" t="s">
        <v>47</v>
      </c>
      <c r="G57" s="7" t="n">
        <v>28</v>
      </c>
      <c r="H57" s="8" t="s">
        <v>184</v>
      </c>
      <c r="I57" s="8" t="s">
        <v>185</v>
      </c>
      <c r="J57" s="8" t="s">
        <v>88</v>
      </c>
      <c r="K57" s="8" t="s">
        <v>112</v>
      </c>
      <c r="L57" s="8" t="s">
        <v>280</v>
      </c>
      <c r="M57" s="7" t="n">
        <v>2</v>
      </c>
      <c r="N57" s="9" t="n">
        <v>18.42</v>
      </c>
      <c r="O57" s="10" t="n">
        <v>0</v>
      </c>
      <c r="P57" s="9" t="n">
        <v>36.85</v>
      </c>
      <c r="Q57" s="9" t="n">
        <v>24.41</v>
      </c>
      <c r="R57" s="8" t="s">
        <v>31</v>
      </c>
      <c r="S57" s="8" t="s">
        <v>32</v>
      </c>
    </row>
    <row r="58" customFormat="false" ht="15" hidden="false" customHeight="true" outlineLevel="0" collapsed="false">
      <c r="A58" s="11" t="s">
        <v>322</v>
      </c>
      <c r="B58" s="12" t="s">
        <v>323</v>
      </c>
      <c r="C58" s="12" t="s">
        <v>324</v>
      </c>
      <c r="D58" s="12" t="s">
        <v>325</v>
      </c>
      <c r="E58" s="11" t="s">
        <v>326</v>
      </c>
      <c r="F58" s="11" t="s">
        <v>25</v>
      </c>
      <c r="G58" s="11" t="n">
        <v>28</v>
      </c>
      <c r="H58" s="12" t="s">
        <v>69</v>
      </c>
      <c r="I58" s="12" t="s">
        <v>70</v>
      </c>
      <c r="J58" s="12" t="s">
        <v>50</v>
      </c>
      <c r="K58" s="12" t="s">
        <v>51</v>
      </c>
      <c r="L58" s="12" t="s">
        <v>127</v>
      </c>
      <c r="M58" s="11" t="n">
        <v>6</v>
      </c>
      <c r="N58" s="13" t="n">
        <v>255.57</v>
      </c>
      <c r="O58" s="14" t="n">
        <v>0</v>
      </c>
      <c r="P58" s="13" t="n">
        <v>1533.41</v>
      </c>
      <c r="Q58" s="13" t="n">
        <v>341.56</v>
      </c>
      <c r="R58" s="12" t="s">
        <v>31</v>
      </c>
      <c r="S58" s="12" t="s">
        <v>128</v>
      </c>
    </row>
    <row r="59" customFormat="false" ht="15" hidden="false" customHeight="true" outlineLevel="0" collapsed="false">
      <c r="A59" s="7" t="s">
        <v>327</v>
      </c>
      <c r="B59" s="8" t="s">
        <v>328</v>
      </c>
      <c r="C59" s="8" t="s">
        <v>329</v>
      </c>
      <c r="D59" s="8" t="s">
        <v>202</v>
      </c>
      <c r="E59" s="7" t="s">
        <v>253</v>
      </c>
      <c r="F59" s="7" t="s">
        <v>47</v>
      </c>
      <c r="G59" s="7" t="n">
        <v>60</v>
      </c>
      <c r="H59" s="8" t="s">
        <v>163</v>
      </c>
      <c r="I59" s="8" t="s">
        <v>164</v>
      </c>
      <c r="J59" s="8" t="s">
        <v>79</v>
      </c>
      <c r="K59" s="8" t="s">
        <v>112</v>
      </c>
      <c r="L59" s="8" t="s">
        <v>330</v>
      </c>
      <c r="M59" s="7" t="n">
        <v>10</v>
      </c>
      <c r="N59" s="9" t="n">
        <v>7.26</v>
      </c>
      <c r="O59" s="10" t="n">
        <v>0.05</v>
      </c>
      <c r="P59" s="9" t="n">
        <v>68.95</v>
      </c>
      <c r="Q59" s="9" t="n">
        <v>43.65</v>
      </c>
      <c r="R59" s="8" t="s">
        <v>53</v>
      </c>
      <c r="S59" s="8" t="s">
        <v>63</v>
      </c>
    </row>
    <row r="60" customFormat="false" ht="15" hidden="false" customHeight="true" outlineLevel="0" collapsed="false">
      <c r="A60" s="11" t="s">
        <v>331</v>
      </c>
      <c r="B60" s="12" t="s">
        <v>146</v>
      </c>
      <c r="C60" s="12" t="s">
        <v>332</v>
      </c>
      <c r="D60" s="12" t="s">
        <v>333</v>
      </c>
      <c r="E60" s="11" t="s">
        <v>321</v>
      </c>
      <c r="F60" s="11" t="s">
        <v>47</v>
      </c>
      <c r="G60" s="11" t="n">
        <v>47</v>
      </c>
      <c r="H60" s="12" t="s">
        <v>176</v>
      </c>
      <c r="I60" s="12" t="s">
        <v>177</v>
      </c>
      <c r="J60" s="12" t="s">
        <v>50</v>
      </c>
      <c r="K60" s="12" t="s">
        <v>104</v>
      </c>
      <c r="L60" s="12" t="s">
        <v>229</v>
      </c>
      <c r="M60" s="11" t="n">
        <v>6</v>
      </c>
      <c r="N60" s="13" t="n">
        <v>74.7</v>
      </c>
      <c r="O60" s="14" t="n">
        <v>0</v>
      </c>
      <c r="P60" s="13" t="n">
        <v>448.22</v>
      </c>
      <c r="Q60" s="13" t="n">
        <v>198.71</v>
      </c>
      <c r="R60" s="12" t="s">
        <v>106</v>
      </c>
      <c r="S60" s="12" t="s">
        <v>90</v>
      </c>
    </row>
    <row r="61" customFormat="false" ht="15" hidden="false" customHeight="true" outlineLevel="0" collapsed="false">
      <c r="A61" s="7" t="s">
        <v>334</v>
      </c>
      <c r="B61" s="8" t="s">
        <v>335</v>
      </c>
      <c r="C61" s="8" t="s">
        <v>197</v>
      </c>
      <c r="D61" s="8" t="s">
        <v>336</v>
      </c>
      <c r="E61" s="7" t="s">
        <v>337</v>
      </c>
      <c r="F61" s="7" t="s">
        <v>47</v>
      </c>
      <c r="G61" s="7" t="n">
        <v>18</v>
      </c>
      <c r="H61" s="8" t="s">
        <v>266</v>
      </c>
      <c r="I61" s="8" t="s">
        <v>78</v>
      </c>
      <c r="J61" s="8" t="s">
        <v>79</v>
      </c>
      <c r="K61" s="8" t="s">
        <v>104</v>
      </c>
      <c r="L61" s="8" t="s">
        <v>303</v>
      </c>
      <c r="M61" s="7" t="n">
        <v>6</v>
      </c>
      <c r="N61" s="9" t="n">
        <v>107.99</v>
      </c>
      <c r="O61" s="10" t="n">
        <v>0.15</v>
      </c>
      <c r="P61" s="9" t="n">
        <v>550.76</v>
      </c>
      <c r="Q61" s="9" t="n">
        <v>212.37</v>
      </c>
      <c r="R61" s="8" t="s">
        <v>144</v>
      </c>
      <c r="S61" s="8" t="s">
        <v>32</v>
      </c>
    </row>
    <row r="62" customFormat="false" ht="15" hidden="false" customHeight="true" outlineLevel="0" collapsed="false">
      <c r="A62" s="11" t="s">
        <v>338</v>
      </c>
      <c r="B62" s="12" t="s">
        <v>339</v>
      </c>
      <c r="C62" s="12" t="s">
        <v>340</v>
      </c>
      <c r="D62" s="12" t="s">
        <v>100</v>
      </c>
      <c r="E62" s="11" t="s">
        <v>341</v>
      </c>
      <c r="F62" s="11" t="s">
        <v>47</v>
      </c>
      <c r="G62" s="11" t="n">
        <v>61</v>
      </c>
      <c r="H62" s="12" t="s">
        <v>184</v>
      </c>
      <c r="I62" s="12" t="s">
        <v>185</v>
      </c>
      <c r="J62" s="12" t="s">
        <v>88</v>
      </c>
      <c r="K62" s="12" t="s">
        <v>134</v>
      </c>
      <c r="L62" s="12" t="s">
        <v>267</v>
      </c>
      <c r="M62" s="11" t="n">
        <v>10</v>
      </c>
      <c r="N62" s="13" t="n">
        <v>25.76</v>
      </c>
      <c r="O62" s="14" t="n">
        <v>0</v>
      </c>
      <c r="P62" s="13" t="n">
        <v>257.57</v>
      </c>
      <c r="Q62" s="13" t="n">
        <v>149.41</v>
      </c>
      <c r="R62" s="12" t="s">
        <v>144</v>
      </c>
      <c r="S62" s="12" t="s">
        <v>73</v>
      </c>
    </row>
    <row r="63" customFormat="false" ht="15" hidden="false" customHeight="true" outlineLevel="0" collapsed="false">
      <c r="A63" s="7" t="s">
        <v>342</v>
      </c>
      <c r="B63" s="8" t="s">
        <v>343</v>
      </c>
      <c r="C63" s="8" t="s">
        <v>344</v>
      </c>
      <c r="D63" s="8" t="s">
        <v>139</v>
      </c>
      <c r="E63" s="7" t="s">
        <v>140</v>
      </c>
      <c r="F63" s="7" t="s">
        <v>47</v>
      </c>
      <c r="G63" s="7" t="n">
        <v>65</v>
      </c>
      <c r="H63" s="8" t="s">
        <v>176</v>
      </c>
      <c r="I63" s="8" t="s">
        <v>177</v>
      </c>
      <c r="J63" s="8" t="s">
        <v>50</v>
      </c>
      <c r="K63" s="8" t="s">
        <v>51</v>
      </c>
      <c r="L63" s="8" t="s">
        <v>127</v>
      </c>
      <c r="M63" s="7" t="n">
        <v>1</v>
      </c>
      <c r="N63" s="9" t="n">
        <v>270.46</v>
      </c>
      <c r="O63" s="10" t="n">
        <v>0.15</v>
      </c>
      <c r="P63" s="9" t="n">
        <v>229.89</v>
      </c>
      <c r="Q63" s="9" t="n">
        <v>43.12</v>
      </c>
      <c r="R63" s="8" t="s">
        <v>106</v>
      </c>
      <c r="S63" s="8" t="s">
        <v>41</v>
      </c>
    </row>
    <row r="64" customFormat="false" ht="15" hidden="false" customHeight="true" outlineLevel="0" collapsed="false">
      <c r="A64" s="11" t="s">
        <v>345</v>
      </c>
      <c r="B64" s="12" t="s">
        <v>65</v>
      </c>
      <c r="C64" s="12" t="s">
        <v>260</v>
      </c>
      <c r="D64" s="12" t="s">
        <v>346</v>
      </c>
      <c r="E64" s="11" t="s">
        <v>347</v>
      </c>
      <c r="F64" s="11" t="s">
        <v>47</v>
      </c>
      <c r="G64" s="11" t="n">
        <v>65</v>
      </c>
      <c r="H64" s="12" t="s">
        <v>348</v>
      </c>
      <c r="I64" s="12" t="s">
        <v>164</v>
      </c>
      <c r="J64" s="12" t="s">
        <v>79</v>
      </c>
      <c r="K64" s="12" t="s">
        <v>29</v>
      </c>
      <c r="L64" s="12" t="s">
        <v>244</v>
      </c>
      <c r="M64" s="11" t="n">
        <v>9</v>
      </c>
      <c r="N64" s="13" t="n">
        <v>66.85</v>
      </c>
      <c r="O64" s="14" t="n">
        <v>0.2</v>
      </c>
      <c r="P64" s="13" t="n">
        <v>481.3</v>
      </c>
      <c r="Q64" s="13" t="n">
        <v>158.35</v>
      </c>
      <c r="R64" s="12" t="s">
        <v>31</v>
      </c>
      <c r="S64" s="12" t="s">
        <v>80</v>
      </c>
    </row>
    <row r="65" customFormat="false" ht="15" hidden="false" customHeight="true" outlineLevel="0" collapsed="false">
      <c r="A65" s="7" t="s">
        <v>349</v>
      </c>
      <c r="B65" s="8" t="s">
        <v>350</v>
      </c>
      <c r="C65" s="8" t="s">
        <v>351</v>
      </c>
      <c r="D65" s="8" t="s">
        <v>132</v>
      </c>
      <c r="E65" s="7" t="s">
        <v>352</v>
      </c>
      <c r="F65" s="7" t="s">
        <v>25</v>
      </c>
      <c r="G65" s="7" t="n">
        <v>47</v>
      </c>
      <c r="H65" s="8" t="s">
        <v>77</v>
      </c>
      <c r="I65" s="8" t="s">
        <v>78</v>
      </c>
      <c r="J65" s="8" t="s">
        <v>79</v>
      </c>
      <c r="K65" s="8" t="s">
        <v>104</v>
      </c>
      <c r="L65" s="8" t="s">
        <v>303</v>
      </c>
      <c r="M65" s="7" t="n">
        <v>6</v>
      </c>
      <c r="N65" s="9" t="n">
        <v>88.61</v>
      </c>
      <c r="O65" s="10" t="n">
        <v>0.05</v>
      </c>
      <c r="P65" s="9" t="n">
        <v>505.09</v>
      </c>
      <c r="Q65" s="9" t="n">
        <v>170.89</v>
      </c>
      <c r="R65" s="8" t="s">
        <v>144</v>
      </c>
      <c r="S65" s="8" t="s">
        <v>63</v>
      </c>
    </row>
    <row r="66" customFormat="false" ht="15" hidden="false" customHeight="true" outlineLevel="0" collapsed="false">
      <c r="A66" s="11" t="s">
        <v>353</v>
      </c>
      <c r="B66" s="12" t="s">
        <v>34</v>
      </c>
      <c r="C66" s="12" t="s">
        <v>44</v>
      </c>
      <c r="D66" s="12" t="s">
        <v>233</v>
      </c>
      <c r="E66" s="11" t="s">
        <v>111</v>
      </c>
      <c r="F66" s="11" t="s">
        <v>47</v>
      </c>
      <c r="G66" s="11" t="n">
        <v>57</v>
      </c>
      <c r="H66" s="12" t="s">
        <v>102</v>
      </c>
      <c r="I66" s="12" t="s">
        <v>103</v>
      </c>
      <c r="J66" s="12" t="s">
        <v>28</v>
      </c>
      <c r="K66" s="12" t="s">
        <v>112</v>
      </c>
      <c r="L66" s="12" t="s">
        <v>113</v>
      </c>
      <c r="M66" s="11" t="n">
        <v>4</v>
      </c>
      <c r="N66" s="13" t="n">
        <v>25.96</v>
      </c>
      <c r="O66" s="14" t="n">
        <v>0.1</v>
      </c>
      <c r="P66" s="13" t="n">
        <v>93.47</v>
      </c>
      <c r="Q66" s="13" t="n">
        <v>64.7</v>
      </c>
      <c r="R66" s="12" t="s">
        <v>144</v>
      </c>
      <c r="S66" s="12" t="s">
        <v>73</v>
      </c>
    </row>
    <row r="67" customFormat="false" ht="15" hidden="false" customHeight="true" outlineLevel="0" collapsed="false">
      <c r="A67" s="7" t="s">
        <v>354</v>
      </c>
      <c r="B67" s="8" t="s">
        <v>355</v>
      </c>
      <c r="C67" s="8" t="s">
        <v>356</v>
      </c>
      <c r="D67" s="8" t="s">
        <v>357</v>
      </c>
      <c r="E67" s="7" t="s">
        <v>358</v>
      </c>
      <c r="F67" s="7" t="s">
        <v>25</v>
      </c>
      <c r="G67" s="7" t="n">
        <v>24</v>
      </c>
      <c r="H67" s="8" t="s">
        <v>48</v>
      </c>
      <c r="I67" s="8" t="s">
        <v>49</v>
      </c>
      <c r="J67" s="8" t="s">
        <v>50</v>
      </c>
      <c r="K67" s="8" t="s">
        <v>112</v>
      </c>
      <c r="L67" s="8" t="s">
        <v>280</v>
      </c>
      <c r="M67" s="7" t="n">
        <v>2</v>
      </c>
      <c r="N67" s="9" t="n">
        <v>16.31</v>
      </c>
      <c r="O67" s="10" t="n">
        <v>0</v>
      </c>
      <c r="P67" s="9" t="n">
        <v>32.61</v>
      </c>
      <c r="Q67" s="9" t="n">
        <v>18.03</v>
      </c>
      <c r="R67" s="8" t="s">
        <v>40</v>
      </c>
      <c r="S67" s="8" t="s">
        <v>54</v>
      </c>
    </row>
    <row r="68" customFormat="false" ht="15" hidden="false" customHeight="true" outlineLevel="0" collapsed="false">
      <c r="A68" s="11" t="s">
        <v>359</v>
      </c>
      <c r="B68" s="12" t="s">
        <v>224</v>
      </c>
      <c r="C68" s="12" t="s">
        <v>237</v>
      </c>
      <c r="D68" s="12" t="s">
        <v>73</v>
      </c>
      <c r="E68" s="11" t="s">
        <v>318</v>
      </c>
      <c r="F68" s="11" t="s">
        <v>47</v>
      </c>
      <c r="G68" s="11" t="n">
        <v>35</v>
      </c>
      <c r="H68" s="12" t="s">
        <v>266</v>
      </c>
      <c r="I68" s="12" t="s">
        <v>78</v>
      </c>
      <c r="J68" s="12" t="s">
        <v>79</v>
      </c>
      <c r="K68" s="12" t="s">
        <v>61</v>
      </c>
      <c r="L68" s="12" t="s">
        <v>360</v>
      </c>
      <c r="M68" s="11" t="n">
        <v>3</v>
      </c>
      <c r="N68" s="13" t="n">
        <v>301.04</v>
      </c>
      <c r="O68" s="14" t="n">
        <v>0.15</v>
      </c>
      <c r="P68" s="13" t="n">
        <v>767.66</v>
      </c>
      <c r="Q68" s="13" t="n">
        <v>206.25</v>
      </c>
      <c r="R68" s="12" t="s">
        <v>144</v>
      </c>
      <c r="S68" s="12" t="s">
        <v>96</v>
      </c>
    </row>
    <row r="69" customFormat="false" ht="15" hidden="false" customHeight="true" outlineLevel="0" collapsed="false">
      <c r="A69" s="7" t="s">
        <v>361</v>
      </c>
      <c r="B69" s="8" t="s">
        <v>362</v>
      </c>
      <c r="C69" s="8" t="s">
        <v>363</v>
      </c>
      <c r="D69" s="8" t="s">
        <v>364</v>
      </c>
      <c r="E69" s="7" t="s">
        <v>365</v>
      </c>
      <c r="F69" s="7" t="s">
        <v>25</v>
      </c>
      <c r="G69" s="7" t="n">
        <v>43</v>
      </c>
      <c r="H69" s="8" t="s">
        <v>69</v>
      </c>
      <c r="I69" s="8" t="s">
        <v>70</v>
      </c>
      <c r="J69" s="8" t="s">
        <v>50</v>
      </c>
      <c r="K69" s="8" t="s">
        <v>134</v>
      </c>
      <c r="L69" s="8" t="s">
        <v>135</v>
      </c>
      <c r="M69" s="7" t="n">
        <v>2</v>
      </c>
      <c r="N69" s="9" t="n">
        <v>12.42</v>
      </c>
      <c r="O69" s="10" t="n">
        <v>0</v>
      </c>
      <c r="P69" s="9" t="n">
        <v>24.85</v>
      </c>
      <c r="Q69" s="9" t="n">
        <v>13.91</v>
      </c>
      <c r="R69" s="8" t="s">
        <v>106</v>
      </c>
      <c r="S69" s="8" t="s">
        <v>73</v>
      </c>
    </row>
    <row r="70" customFormat="false" ht="15" hidden="false" customHeight="true" outlineLevel="0" collapsed="false">
      <c r="A70" s="11" t="s">
        <v>366</v>
      </c>
      <c r="B70" s="12" t="s">
        <v>367</v>
      </c>
      <c r="C70" s="12" t="s">
        <v>368</v>
      </c>
      <c r="D70" s="12" t="s">
        <v>252</v>
      </c>
      <c r="E70" s="11" t="s">
        <v>68</v>
      </c>
      <c r="F70" s="11" t="s">
        <v>25</v>
      </c>
      <c r="G70" s="11" t="n">
        <v>22</v>
      </c>
      <c r="H70" s="12" t="s">
        <v>369</v>
      </c>
      <c r="I70" s="12" t="s">
        <v>164</v>
      </c>
      <c r="J70" s="12" t="s">
        <v>79</v>
      </c>
      <c r="K70" s="12" t="s">
        <v>112</v>
      </c>
      <c r="L70" s="12" t="s">
        <v>330</v>
      </c>
      <c r="M70" s="11" t="n">
        <v>1</v>
      </c>
      <c r="N70" s="13" t="n">
        <v>6.96</v>
      </c>
      <c r="O70" s="14" t="n">
        <v>0</v>
      </c>
      <c r="P70" s="13" t="n">
        <v>6.96</v>
      </c>
      <c r="Q70" s="13" t="n">
        <v>3.75</v>
      </c>
      <c r="R70" s="12" t="s">
        <v>106</v>
      </c>
      <c r="S70" s="12" t="s">
        <v>128</v>
      </c>
    </row>
    <row r="71" customFormat="false" ht="15" hidden="false" customHeight="true" outlineLevel="0" collapsed="false">
      <c r="A71" s="7" t="s">
        <v>370</v>
      </c>
      <c r="B71" s="8" t="s">
        <v>371</v>
      </c>
      <c r="C71" s="8" t="s">
        <v>372</v>
      </c>
      <c r="D71" s="8" t="s">
        <v>23</v>
      </c>
      <c r="E71" s="7" t="s">
        <v>373</v>
      </c>
      <c r="F71" s="7" t="s">
        <v>47</v>
      </c>
      <c r="G71" s="7" t="n">
        <v>29</v>
      </c>
      <c r="H71" s="8" t="s">
        <v>369</v>
      </c>
      <c r="I71" s="8" t="s">
        <v>164</v>
      </c>
      <c r="J71" s="8" t="s">
        <v>79</v>
      </c>
      <c r="K71" s="8" t="s">
        <v>61</v>
      </c>
      <c r="L71" s="8" t="s">
        <v>374</v>
      </c>
      <c r="M71" s="7" t="n">
        <v>1</v>
      </c>
      <c r="N71" s="9" t="n">
        <v>288.27</v>
      </c>
      <c r="O71" s="10" t="n">
        <v>0</v>
      </c>
      <c r="P71" s="9" t="n">
        <v>288.27</v>
      </c>
      <c r="Q71" s="9" t="n">
        <v>110.24</v>
      </c>
      <c r="R71" s="8" t="s">
        <v>144</v>
      </c>
      <c r="S71" s="8" t="s">
        <v>32</v>
      </c>
    </row>
    <row r="72" customFormat="false" ht="15" hidden="false" customHeight="true" outlineLevel="0" collapsed="false">
      <c r="A72" s="11" t="s">
        <v>375</v>
      </c>
      <c r="B72" s="12" t="s">
        <v>65</v>
      </c>
      <c r="C72" s="12" t="s">
        <v>376</v>
      </c>
      <c r="D72" s="12" t="s">
        <v>189</v>
      </c>
      <c r="E72" s="11" t="s">
        <v>377</v>
      </c>
      <c r="F72" s="11" t="s">
        <v>25</v>
      </c>
      <c r="G72" s="11" t="n">
        <v>65</v>
      </c>
      <c r="H72" s="12" t="s">
        <v>266</v>
      </c>
      <c r="I72" s="12" t="s">
        <v>78</v>
      </c>
      <c r="J72" s="12" t="s">
        <v>79</v>
      </c>
      <c r="K72" s="12" t="s">
        <v>61</v>
      </c>
      <c r="L72" s="12" t="s">
        <v>378</v>
      </c>
      <c r="M72" s="11" t="n">
        <v>6</v>
      </c>
      <c r="N72" s="13" t="n">
        <v>685.05</v>
      </c>
      <c r="O72" s="14" t="n">
        <v>0</v>
      </c>
      <c r="P72" s="13" t="n">
        <v>4110.3</v>
      </c>
      <c r="Q72" s="13" t="n">
        <v>1079.8</v>
      </c>
      <c r="R72" s="12" t="s">
        <v>53</v>
      </c>
      <c r="S72" s="12" t="s">
        <v>80</v>
      </c>
    </row>
    <row r="73" customFormat="false" ht="15" hidden="false" customHeight="true" outlineLevel="0" collapsed="false">
      <c r="A73" s="7" t="s">
        <v>379</v>
      </c>
      <c r="B73" s="8" t="s">
        <v>223</v>
      </c>
      <c r="C73" s="8" t="s">
        <v>380</v>
      </c>
      <c r="D73" s="8" t="s">
        <v>168</v>
      </c>
      <c r="E73" s="7" t="s">
        <v>381</v>
      </c>
      <c r="F73" s="7" t="s">
        <v>47</v>
      </c>
      <c r="G73" s="7" t="n">
        <v>47</v>
      </c>
      <c r="H73" s="8" t="s">
        <v>176</v>
      </c>
      <c r="I73" s="8" t="s">
        <v>177</v>
      </c>
      <c r="J73" s="8" t="s">
        <v>50</v>
      </c>
      <c r="K73" s="8" t="s">
        <v>29</v>
      </c>
      <c r="L73" s="8" t="s">
        <v>382</v>
      </c>
      <c r="M73" s="7" t="n">
        <v>9</v>
      </c>
      <c r="N73" s="9" t="n">
        <v>23.47</v>
      </c>
      <c r="O73" s="10" t="n">
        <v>0.1</v>
      </c>
      <c r="P73" s="9" t="n">
        <v>190.07</v>
      </c>
      <c r="Q73" s="9" t="n">
        <v>59.03</v>
      </c>
      <c r="R73" s="8" t="s">
        <v>31</v>
      </c>
      <c r="S73" s="8" t="s">
        <v>80</v>
      </c>
    </row>
    <row r="74" customFormat="false" ht="15" hidden="false" customHeight="true" outlineLevel="0" collapsed="false">
      <c r="A74" s="11" t="s">
        <v>383</v>
      </c>
      <c r="B74" s="12" t="s">
        <v>384</v>
      </c>
      <c r="C74" s="12" t="s">
        <v>385</v>
      </c>
      <c r="D74" s="12" t="s">
        <v>94</v>
      </c>
      <c r="E74" s="11" t="s">
        <v>365</v>
      </c>
      <c r="F74" s="11" t="s">
        <v>25</v>
      </c>
      <c r="G74" s="11" t="n">
        <v>26</v>
      </c>
      <c r="H74" s="12" t="s">
        <v>163</v>
      </c>
      <c r="I74" s="12" t="s">
        <v>164</v>
      </c>
      <c r="J74" s="12" t="s">
        <v>79</v>
      </c>
      <c r="K74" s="12" t="s">
        <v>112</v>
      </c>
      <c r="L74" s="12" t="s">
        <v>143</v>
      </c>
      <c r="M74" s="11" t="n">
        <v>8</v>
      </c>
      <c r="N74" s="13" t="n">
        <v>10.55</v>
      </c>
      <c r="O74" s="14" t="n">
        <v>0</v>
      </c>
      <c r="P74" s="13" t="n">
        <v>84.42</v>
      </c>
      <c r="Q74" s="13" t="n">
        <v>47.05</v>
      </c>
      <c r="R74" s="12" t="s">
        <v>40</v>
      </c>
      <c r="S74" s="12" t="s">
        <v>128</v>
      </c>
    </row>
    <row r="75" customFormat="false" ht="15" hidden="false" customHeight="true" outlineLevel="0" collapsed="false">
      <c r="A75" s="7" t="s">
        <v>386</v>
      </c>
      <c r="B75" s="8" t="s">
        <v>387</v>
      </c>
      <c r="C75" s="8" t="s">
        <v>388</v>
      </c>
      <c r="D75" s="8" t="s">
        <v>57</v>
      </c>
      <c r="E75" s="7" t="s">
        <v>68</v>
      </c>
      <c r="F75" s="7" t="s">
        <v>25</v>
      </c>
      <c r="G75" s="7" t="n">
        <v>59</v>
      </c>
      <c r="H75" s="8" t="s">
        <v>369</v>
      </c>
      <c r="I75" s="8" t="s">
        <v>164</v>
      </c>
      <c r="J75" s="8" t="s">
        <v>79</v>
      </c>
      <c r="K75" s="8" t="s">
        <v>61</v>
      </c>
      <c r="L75" s="8" t="s">
        <v>360</v>
      </c>
      <c r="M75" s="7" t="n">
        <v>9</v>
      </c>
      <c r="N75" s="9" t="n">
        <v>241.99</v>
      </c>
      <c r="O75" s="10" t="n">
        <v>0.1</v>
      </c>
      <c r="P75" s="9" t="n">
        <v>1960.12</v>
      </c>
      <c r="Q75" s="9" t="n">
        <v>653.69</v>
      </c>
      <c r="R75" s="8" t="s">
        <v>144</v>
      </c>
      <c r="S75" s="8" t="s">
        <v>41</v>
      </c>
    </row>
    <row r="76" customFormat="false" ht="15" hidden="false" customHeight="true" outlineLevel="0" collapsed="false">
      <c r="A76" s="11" t="s">
        <v>389</v>
      </c>
      <c r="B76" s="12" t="s">
        <v>390</v>
      </c>
      <c r="C76" s="12" t="s">
        <v>391</v>
      </c>
      <c r="D76" s="12" t="s">
        <v>333</v>
      </c>
      <c r="E76" s="11" t="s">
        <v>392</v>
      </c>
      <c r="F76" s="11" t="s">
        <v>47</v>
      </c>
      <c r="G76" s="11" t="n">
        <v>60</v>
      </c>
      <c r="H76" s="12" t="s">
        <v>59</v>
      </c>
      <c r="I76" s="12" t="s">
        <v>60</v>
      </c>
      <c r="J76" s="12" t="s">
        <v>50</v>
      </c>
      <c r="K76" s="12" t="s">
        <v>104</v>
      </c>
      <c r="L76" s="12" t="s">
        <v>303</v>
      </c>
      <c r="M76" s="11" t="n">
        <v>8</v>
      </c>
      <c r="N76" s="13" t="n">
        <v>100.95</v>
      </c>
      <c r="O76" s="14" t="n">
        <v>0.15</v>
      </c>
      <c r="P76" s="13" t="n">
        <v>686.45</v>
      </c>
      <c r="Q76" s="13" t="n">
        <v>241.61</v>
      </c>
      <c r="R76" s="12" t="s">
        <v>72</v>
      </c>
      <c r="S76" s="12" t="s">
        <v>54</v>
      </c>
    </row>
    <row r="77" customFormat="false" ht="15" hidden="false" customHeight="true" outlineLevel="0" collapsed="false">
      <c r="A77" s="7" t="s">
        <v>393</v>
      </c>
      <c r="B77" s="8" t="s">
        <v>394</v>
      </c>
      <c r="C77" s="8" t="s">
        <v>395</v>
      </c>
      <c r="D77" s="8" t="s">
        <v>252</v>
      </c>
      <c r="E77" s="7" t="s">
        <v>169</v>
      </c>
      <c r="F77" s="7" t="s">
        <v>25</v>
      </c>
      <c r="G77" s="7" t="n">
        <v>55</v>
      </c>
      <c r="H77" s="8" t="s">
        <v>156</v>
      </c>
      <c r="I77" s="8" t="s">
        <v>157</v>
      </c>
      <c r="J77" s="8" t="s">
        <v>28</v>
      </c>
      <c r="K77" s="8" t="s">
        <v>51</v>
      </c>
      <c r="L77" s="8" t="s">
        <v>52</v>
      </c>
      <c r="M77" s="7" t="n">
        <v>2</v>
      </c>
      <c r="N77" s="9" t="n">
        <v>818.2</v>
      </c>
      <c r="O77" s="10" t="n">
        <v>0.15</v>
      </c>
      <c r="P77" s="9" t="n">
        <v>1390.94</v>
      </c>
      <c r="Q77" s="9" t="n">
        <v>335.24</v>
      </c>
      <c r="R77" s="8" t="s">
        <v>40</v>
      </c>
      <c r="S77" s="8" t="s">
        <v>96</v>
      </c>
    </row>
    <row r="78" customFormat="false" ht="15" hidden="false" customHeight="true" outlineLevel="0" collapsed="false">
      <c r="A78" s="11" t="s">
        <v>396</v>
      </c>
      <c r="B78" s="12" t="s">
        <v>56</v>
      </c>
      <c r="C78" s="12" t="s">
        <v>397</v>
      </c>
      <c r="D78" s="12" t="s">
        <v>398</v>
      </c>
      <c r="E78" s="11" t="s">
        <v>299</v>
      </c>
      <c r="F78" s="11" t="s">
        <v>25</v>
      </c>
      <c r="G78" s="11" t="n">
        <v>27</v>
      </c>
      <c r="H78" s="12" t="s">
        <v>48</v>
      </c>
      <c r="I78" s="12" t="s">
        <v>49</v>
      </c>
      <c r="J78" s="12" t="s">
        <v>50</v>
      </c>
      <c r="K78" s="12" t="s">
        <v>134</v>
      </c>
      <c r="L78" s="12" t="s">
        <v>178</v>
      </c>
      <c r="M78" s="11" t="n">
        <v>1</v>
      </c>
      <c r="N78" s="13" t="n">
        <v>24.75</v>
      </c>
      <c r="O78" s="14" t="n">
        <v>0.1</v>
      </c>
      <c r="P78" s="13" t="n">
        <v>22.27</v>
      </c>
      <c r="Q78" s="13" t="n">
        <v>11.33</v>
      </c>
      <c r="R78" s="12" t="s">
        <v>106</v>
      </c>
      <c r="S78" s="12" t="s">
        <v>73</v>
      </c>
    </row>
    <row r="79" customFormat="false" ht="15" hidden="false" customHeight="true" outlineLevel="0" collapsed="false">
      <c r="A79" s="7" t="s">
        <v>399</v>
      </c>
      <c r="B79" s="8" t="s">
        <v>115</v>
      </c>
      <c r="C79" s="8" t="s">
        <v>400</v>
      </c>
      <c r="D79" s="8" t="s">
        <v>100</v>
      </c>
      <c r="E79" s="7" t="s">
        <v>284</v>
      </c>
      <c r="F79" s="7" t="s">
        <v>25</v>
      </c>
      <c r="G79" s="7" t="n">
        <v>56</v>
      </c>
      <c r="H79" s="8" t="s">
        <v>86</v>
      </c>
      <c r="I79" s="8" t="s">
        <v>87</v>
      </c>
      <c r="J79" s="8" t="s">
        <v>88</v>
      </c>
      <c r="K79" s="8" t="s">
        <v>61</v>
      </c>
      <c r="L79" s="8" t="s">
        <v>401</v>
      </c>
      <c r="M79" s="7" t="n">
        <v>10</v>
      </c>
      <c r="N79" s="9" t="n">
        <v>188.09</v>
      </c>
      <c r="O79" s="10" t="n">
        <v>0.05</v>
      </c>
      <c r="P79" s="9" t="n">
        <v>1786.88</v>
      </c>
      <c r="Q79" s="9" t="n">
        <v>650.75</v>
      </c>
      <c r="R79" s="8" t="s">
        <v>31</v>
      </c>
      <c r="S79" s="8" t="s">
        <v>54</v>
      </c>
    </row>
    <row r="80" customFormat="false" ht="15" hidden="false" customHeight="true" outlineLevel="0" collapsed="false">
      <c r="A80" s="11" t="s">
        <v>402</v>
      </c>
      <c r="B80" s="12" t="s">
        <v>181</v>
      </c>
      <c r="C80" s="12" t="s">
        <v>403</v>
      </c>
      <c r="D80" s="12" t="s">
        <v>290</v>
      </c>
      <c r="E80" s="11" t="s">
        <v>381</v>
      </c>
      <c r="F80" s="11" t="s">
        <v>25</v>
      </c>
      <c r="G80" s="11" t="n">
        <v>27</v>
      </c>
      <c r="H80" s="12" t="s">
        <v>69</v>
      </c>
      <c r="I80" s="12" t="s">
        <v>70</v>
      </c>
      <c r="J80" s="12" t="s">
        <v>50</v>
      </c>
      <c r="K80" s="12" t="s">
        <v>61</v>
      </c>
      <c r="L80" s="12" t="s">
        <v>404</v>
      </c>
      <c r="M80" s="11" t="n">
        <v>1</v>
      </c>
      <c r="N80" s="13" t="n">
        <v>110.71</v>
      </c>
      <c r="O80" s="14" t="n">
        <v>0</v>
      </c>
      <c r="P80" s="13" t="n">
        <v>110.71</v>
      </c>
      <c r="Q80" s="13" t="n">
        <v>36.37</v>
      </c>
      <c r="R80" s="12" t="s">
        <v>31</v>
      </c>
      <c r="S80" s="12" t="s">
        <v>120</v>
      </c>
    </row>
    <row r="81" customFormat="false" ht="15" hidden="false" customHeight="true" outlineLevel="0" collapsed="false">
      <c r="A81" s="7" t="s">
        <v>405</v>
      </c>
      <c r="B81" s="8" t="s">
        <v>371</v>
      </c>
      <c r="C81" s="8" t="s">
        <v>406</v>
      </c>
      <c r="D81" s="8" t="s">
        <v>325</v>
      </c>
      <c r="E81" s="7" t="s">
        <v>311</v>
      </c>
      <c r="F81" s="7" t="s">
        <v>25</v>
      </c>
      <c r="G81" s="7" t="n">
        <v>21</v>
      </c>
      <c r="H81" s="8" t="s">
        <v>59</v>
      </c>
      <c r="I81" s="8" t="s">
        <v>60</v>
      </c>
      <c r="J81" s="8" t="s">
        <v>50</v>
      </c>
      <c r="K81" s="8" t="s">
        <v>134</v>
      </c>
      <c r="L81" s="8" t="s">
        <v>407</v>
      </c>
      <c r="M81" s="7" t="n">
        <v>3</v>
      </c>
      <c r="N81" s="9" t="n">
        <v>54.89</v>
      </c>
      <c r="O81" s="10" t="n">
        <v>0.15</v>
      </c>
      <c r="P81" s="9" t="n">
        <v>139.97</v>
      </c>
      <c r="Q81" s="9" t="n">
        <v>71.58</v>
      </c>
      <c r="R81" s="8" t="s">
        <v>106</v>
      </c>
      <c r="S81" s="8" t="s">
        <v>128</v>
      </c>
    </row>
    <row r="82" customFormat="false" ht="15" hidden="false" customHeight="true" outlineLevel="0" collapsed="false">
      <c r="A82" s="11" t="s">
        <v>408</v>
      </c>
      <c r="B82" s="12" t="s">
        <v>409</v>
      </c>
      <c r="C82" s="12" t="s">
        <v>350</v>
      </c>
      <c r="D82" s="12" t="s">
        <v>410</v>
      </c>
      <c r="E82" s="11" t="s">
        <v>133</v>
      </c>
      <c r="F82" s="11" t="s">
        <v>25</v>
      </c>
      <c r="G82" s="11" t="n">
        <v>40</v>
      </c>
      <c r="H82" s="12" t="s">
        <v>176</v>
      </c>
      <c r="I82" s="12" t="s">
        <v>177</v>
      </c>
      <c r="J82" s="12" t="s">
        <v>50</v>
      </c>
      <c r="K82" s="12" t="s">
        <v>51</v>
      </c>
      <c r="L82" s="12" t="s">
        <v>127</v>
      </c>
      <c r="M82" s="11" t="n">
        <v>7</v>
      </c>
      <c r="N82" s="13" t="n">
        <v>261.07</v>
      </c>
      <c r="O82" s="14" t="n">
        <v>0.05</v>
      </c>
      <c r="P82" s="13" t="n">
        <v>1736.09</v>
      </c>
      <c r="Q82" s="13" t="n">
        <v>368.83</v>
      </c>
      <c r="R82" s="12" t="s">
        <v>31</v>
      </c>
      <c r="S82" s="12" t="s">
        <v>63</v>
      </c>
    </row>
    <row r="83" customFormat="false" ht="15" hidden="false" customHeight="true" outlineLevel="0" collapsed="false">
      <c r="A83" s="7" t="s">
        <v>411</v>
      </c>
      <c r="B83" s="8" t="s">
        <v>397</v>
      </c>
      <c r="C83" s="8" t="s">
        <v>147</v>
      </c>
      <c r="D83" s="8" t="s">
        <v>412</v>
      </c>
      <c r="E83" s="7" t="s">
        <v>321</v>
      </c>
      <c r="F83" s="7" t="s">
        <v>25</v>
      </c>
      <c r="G83" s="7" t="n">
        <v>31</v>
      </c>
      <c r="H83" s="8" t="s">
        <v>348</v>
      </c>
      <c r="I83" s="8" t="s">
        <v>164</v>
      </c>
      <c r="J83" s="8" t="s">
        <v>79</v>
      </c>
      <c r="K83" s="8" t="s">
        <v>29</v>
      </c>
      <c r="L83" s="8" t="s">
        <v>30</v>
      </c>
      <c r="M83" s="7" t="n">
        <v>5</v>
      </c>
      <c r="N83" s="9" t="n">
        <v>78.14</v>
      </c>
      <c r="O83" s="10" t="n">
        <v>0.05</v>
      </c>
      <c r="P83" s="9" t="n">
        <v>371.14</v>
      </c>
      <c r="Q83" s="9" t="n">
        <v>168.36</v>
      </c>
      <c r="R83" s="8" t="s">
        <v>106</v>
      </c>
      <c r="S83" s="8" t="s">
        <v>54</v>
      </c>
    </row>
    <row r="84" customFormat="false" ht="15" hidden="false" customHeight="true" outlineLevel="0" collapsed="false">
      <c r="A84" s="11" t="s">
        <v>413</v>
      </c>
      <c r="B84" s="12" t="s">
        <v>414</v>
      </c>
      <c r="C84" s="12" t="s">
        <v>226</v>
      </c>
      <c r="D84" s="12" t="s">
        <v>132</v>
      </c>
      <c r="E84" s="11" t="s">
        <v>169</v>
      </c>
      <c r="F84" s="11" t="s">
        <v>25</v>
      </c>
      <c r="G84" s="11" t="n">
        <v>50</v>
      </c>
      <c r="H84" s="12" t="s">
        <v>119</v>
      </c>
      <c r="I84" s="12" t="s">
        <v>119</v>
      </c>
      <c r="J84" s="12" t="s">
        <v>28</v>
      </c>
      <c r="K84" s="12" t="s">
        <v>61</v>
      </c>
      <c r="L84" s="12" t="s">
        <v>401</v>
      </c>
      <c r="M84" s="11" t="n">
        <v>8</v>
      </c>
      <c r="N84" s="13" t="n">
        <v>229.76</v>
      </c>
      <c r="O84" s="14" t="n">
        <v>0</v>
      </c>
      <c r="P84" s="13" t="n">
        <v>1838.09</v>
      </c>
      <c r="Q84" s="13" t="n">
        <v>500.95</v>
      </c>
      <c r="R84" s="12" t="s">
        <v>144</v>
      </c>
      <c r="S84" s="12" t="s">
        <v>96</v>
      </c>
    </row>
    <row r="85" customFormat="false" ht="15" hidden="false" customHeight="true" outlineLevel="0" collapsed="false">
      <c r="A85" s="7" t="s">
        <v>415</v>
      </c>
      <c r="B85" s="8" t="s">
        <v>275</v>
      </c>
      <c r="C85" s="8" t="s">
        <v>416</v>
      </c>
      <c r="D85" s="8" t="s">
        <v>161</v>
      </c>
      <c r="E85" s="7" t="s">
        <v>417</v>
      </c>
      <c r="F85" s="7" t="s">
        <v>47</v>
      </c>
      <c r="G85" s="7" t="n">
        <v>54</v>
      </c>
      <c r="H85" s="8" t="s">
        <v>48</v>
      </c>
      <c r="I85" s="8" t="s">
        <v>49</v>
      </c>
      <c r="J85" s="8" t="s">
        <v>50</v>
      </c>
      <c r="K85" s="8" t="s">
        <v>112</v>
      </c>
      <c r="L85" s="8" t="s">
        <v>170</v>
      </c>
      <c r="M85" s="7" t="n">
        <v>1</v>
      </c>
      <c r="N85" s="9" t="n">
        <v>20.68</v>
      </c>
      <c r="O85" s="10" t="n">
        <v>0</v>
      </c>
      <c r="P85" s="9" t="n">
        <v>20.68</v>
      </c>
      <c r="Q85" s="9" t="n">
        <v>14.21</v>
      </c>
      <c r="R85" s="8" t="s">
        <v>144</v>
      </c>
      <c r="S85" s="8" t="s">
        <v>90</v>
      </c>
    </row>
    <row r="86" customFormat="false" ht="15" hidden="false" customHeight="true" outlineLevel="0" collapsed="false">
      <c r="A86" s="11" t="s">
        <v>418</v>
      </c>
      <c r="B86" s="12" t="s">
        <v>419</v>
      </c>
      <c r="C86" s="12" t="s">
        <v>263</v>
      </c>
      <c r="D86" s="12" t="s">
        <v>420</v>
      </c>
      <c r="E86" s="11" t="s">
        <v>421</v>
      </c>
      <c r="F86" s="11" t="s">
        <v>25</v>
      </c>
      <c r="G86" s="11" t="n">
        <v>45</v>
      </c>
      <c r="H86" s="12" t="s">
        <v>59</v>
      </c>
      <c r="I86" s="12" t="s">
        <v>60</v>
      </c>
      <c r="J86" s="12" t="s">
        <v>50</v>
      </c>
      <c r="K86" s="12" t="s">
        <v>134</v>
      </c>
      <c r="L86" s="12" t="s">
        <v>207</v>
      </c>
      <c r="M86" s="11" t="n">
        <v>3</v>
      </c>
      <c r="N86" s="13" t="n">
        <v>17.56</v>
      </c>
      <c r="O86" s="14" t="n">
        <v>0.1</v>
      </c>
      <c r="P86" s="13" t="n">
        <v>47.41</v>
      </c>
      <c r="Q86" s="13" t="n">
        <v>25.66</v>
      </c>
      <c r="R86" s="12" t="s">
        <v>106</v>
      </c>
      <c r="S86" s="12" t="s">
        <v>90</v>
      </c>
    </row>
    <row r="87" customFormat="false" ht="15" hidden="false" customHeight="true" outlineLevel="0" collapsed="false">
      <c r="A87" s="7" t="s">
        <v>422</v>
      </c>
      <c r="B87" s="8" t="s">
        <v>310</v>
      </c>
      <c r="C87" s="8" t="s">
        <v>339</v>
      </c>
      <c r="D87" s="8" t="s">
        <v>423</v>
      </c>
      <c r="E87" s="7" t="s">
        <v>373</v>
      </c>
      <c r="F87" s="7" t="s">
        <v>25</v>
      </c>
      <c r="G87" s="7" t="n">
        <v>50</v>
      </c>
      <c r="H87" s="8" t="s">
        <v>149</v>
      </c>
      <c r="I87" s="8" t="s">
        <v>150</v>
      </c>
      <c r="J87" s="8" t="s">
        <v>50</v>
      </c>
      <c r="K87" s="8" t="s">
        <v>29</v>
      </c>
      <c r="L87" s="8" t="s">
        <v>382</v>
      </c>
      <c r="M87" s="7" t="n">
        <v>5</v>
      </c>
      <c r="N87" s="9" t="n">
        <v>28.71</v>
      </c>
      <c r="O87" s="10" t="n">
        <v>0</v>
      </c>
      <c r="P87" s="9" t="n">
        <v>143.54</v>
      </c>
      <c r="Q87" s="9" t="n">
        <v>50.9</v>
      </c>
      <c r="R87" s="8" t="s">
        <v>40</v>
      </c>
      <c r="S87" s="8" t="s">
        <v>120</v>
      </c>
    </row>
    <row r="88" customFormat="false" ht="15" hidden="false" customHeight="true" outlineLevel="0" collapsed="false">
      <c r="A88" s="11" t="s">
        <v>424</v>
      </c>
      <c r="B88" s="12" t="s">
        <v>270</v>
      </c>
      <c r="C88" s="12" t="s">
        <v>425</v>
      </c>
      <c r="D88" s="12" t="s">
        <v>426</v>
      </c>
      <c r="E88" s="11" t="s">
        <v>258</v>
      </c>
      <c r="F88" s="11" t="s">
        <v>25</v>
      </c>
      <c r="G88" s="11" t="n">
        <v>59</v>
      </c>
      <c r="H88" s="12" t="s">
        <v>26</v>
      </c>
      <c r="I88" s="12" t="s">
        <v>27</v>
      </c>
      <c r="J88" s="12" t="s">
        <v>28</v>
      </c>
      <c r="K88" s="12" t="s">
        <v>61</v>
      </c>
      <c r="L88" s="12" t="s">
        <v>404</v>
      </c>
      <c r="M88" s="11" t="n">
        <v>4</v>
      </c>
      <c r="N88" s="13" t="n">
        <v>106.93</v>
      </c>
      <c r="O88" s="14" t="n">
        <v>0</v>
      </c>
      <c r="P88" s="13" t="n">
        <v>427.74</v>
      </c>
      <c r="Q88" s="13" t="n">
        <v>120.3</v>
      </c>
      <c r="R88" s="12" t="s">
        <v>106</v>
      </c>
      <c r="S88" s="12" t="s">
        <v>80</v>
      </c>
    </row>
    <row r="89" customFormat="false" ht="15" hidden="false" customHeight="true" outlineLevel="0" collapsed="false">
      <c r="A89" s="7" t="s">
        <v>427</v>
      </c>
      <c r="B89" s="8" t="s">
        <v>428</v>
      </c>
      <c r="C89" s="8" t="s">
        <v>429</v>
      </c>
      <c r="D89" s="8" t="s">
        <v>430</v>
      </c>
      <c r="E89" s="7" t="s">
        <v>85</v>
      </c>
      <c r="F89" s="7" t="s">
        <v>25</v>
      </c>
      <c r="G89" s="7" t="n">
        <v>48</v>
      </c>
      <c r="H89" s="8" t="s">
        <v>266</v>
      </c>
      <c r="I89" s="8" t="s">
        <v>78</v>
      </c>
      <c r="J89" s="8" t="s">
        <v>79</v>
      </c>
      <c r="K89" s="8" t="s">
        <v>29</v>
      </c>
      <c r="L89" s="8" t="s">
        <v>30</v>
      </c>
      <c r="M89" s="7" t="n">
        <v>10</v>
      </c>
      <c r="N89" s="9" t="n">
        <v>88.14</v>
      </c>
      <c r="O89" s="10" t="n">
        <v>0.15</v>
      </c>
      <c r="P89" s="9" t="n">
        <v>749.15</v>
      </c>
      <c r="Q89" s="9" t="n">
        <v>263.74</v>
      </c>
      <c r="R89" s="8" t="s">
        <v>144</v>
      </c>
      <c r="S89" s="8" t="s">
        <v>63</v>
      </c>
    </row>
    <row r="90" customFormat="false" ht="15" hidden="false" customHeight="true" outlineLevel="0" collapsed="false">
      <c r="A90" s="11" t="s">
        <v>431</v>
      </c>
      <c r="B90" s="12" t="s">
        <v>432</v>
      </c>
      <c r="C90" s="12" t="s">
        <v>263</v>
      </c>
      <c r="D90" s="12" t="s">
        <v>433</v>
      </c>
      <c r="E90" s="11" t="s">
        <v>291</v>
      </c>
      <c r="F90" s="11" t="s">
        <v>47</v>
      </c>
      <c r="G90" s="11" t="n">
        <v>22</v>
      </c>
      <c r="H90" s="12" t="s">
        <v>348</v>
      </c>
      <c r="I90" s="12" t="s">
        <v>164</v>
      </c>
      <c r="J90" s="12" t="s">
        <v>79</v>
      </c>
      <c r="K90" s="12" t="s">
        <v>51</v>
      </c>
      <c r="L90" s="12" t="s">
        <v>434</v>
      </c>
      <c r="M90" s="11" t="n">
        <v>2</v>
      </c>
      <c r="N90" s="13" t="n">
        <v>1461.24</v>
      </c>
      <c r="O90" s="14" t="n">
        <v>0.05</v>
      </c>
      <c r="P90" s="13" t="n">
        <v>2776.36</v>
      </c>
      <c r="Q90" s="13" t="n">
        <v>497.83</v>
      </c>
      <c r="R90" s="12" t="s">
        <v>40</v>
      </c>
      <c r="S90" s="12" t="s">
        <v>128</v>
      </c>
    </row>
    <row r="91" customFormat="false" ht="15" hidden="false" customHeight="true" outlineLevel="0" collapsed="false">
      <c r="A91" s="7" t="s">
        <v>435</v>
      </c>
      <c r="B91" s="8" t="s">
        <v>436</v>
      </c>
      <c r="C91" s="8" t="s">
        <v>437</v>
      </c>
      <c r="D91" s="8" t="s">
        <v>438</v>
      </c>
      <c r="E91" s="7" t="s">
        <v>439</v>
      </c>
      <c r="F91" s="7" t="s">
        <v>25</v>
      </c>
      <c r="G91" s="7" t="n">
        <v>21</v>
      </c>
      <c r="H91" s="8" t="s">
        <v>176</v>
      </c>
      <c r="I91" s="8" t="s">
        <v>177</v>
      </c>
      <c r="J91" s="8" t="s">
        <v>50</v>
      </c>
      <c r="K91" s="8" t="s">
        <v>134</v>
      </c>
      <c r="L91" s="8" t="s">
        <v>207</v>
      </c>
      <c r="M91" s="7" t="n">
        <v>10</v>
      </c>
      <c r="N91" s="9" t="n">
        <v>16.66</v>
      </c>
      <c r="O91" s="10" t="n">
        <v>0</v>
      </c>
      <c r="P91" s="9" t="n">
        <v>166.61</v>
      </c>
      <c r="Q91" s="9" t="n">
        <v>95.48</v>
      </c>
      <c r="R91" s="8" t="s">
        <v>31</v>
      </c>
      <c r="S91" s="8" t="s">
        <v>96</v>
      </c>
    </row>
    <row r="92" customFormat="false" ht="15" hidden="false" customHeight="true" outlineLevel="0" collapsed="false">
      <c r="A92" s="11" t="s">
        <v>440</v>
      </c>
      <c r="B92" s="12" t="s">
        <v>351</v>
      </c>
      <c r="C92" s="12" t="s">
        <v>441</v>
      </c>
      <c r="D92" s="12" t="s">
        <v>442</v>
      </c>
      <c r="E92" s="11" t="s">
        <v>352</v>
      </c>
      <c r="F92" s="11" t="s">
        <v>25</v>
      </c>
      <c r="G92" s="11" t="n">
        <v>41</v>
      </c>
      <c r="H92" s="12" t="s">
        <v>38</v>
      </c>
      <c r="I92" s="12" t="s">
        <v>27</v>
      </c>
      <c r="J92" s="12" t="s">
        <v>28</v>
      </c>
      <c r="K92" s="12" t="s">
        <v>112</v>
      </c>
      <c r="L92" s="12" t="s">
        <v>158</v>
      </c>
      <c r="M92" s="11" t="n">
        <v>4</v>
      </c>
      <c r="N92" s="13" t="n">
        <v>67.98</v>
      </c>
      <c r="O92" s="14" t="n">
        <v>0.05</v>
      </c>
      <c r="P92" s="13" t="n">
        <v>258.34</v>
      </c>
      <c r="Q92" s="13" t="n">
        <v>156.5</v>
      </c>
      <c r="R92" s="12" t="s">
        <v>72</v>
      </c>
      <c r="S92" s="12" t="s">
        <v>90</v>
      </c>
    </row>
    <row r="93" customFormat="false" ht="15" hidden="false" customHeight="true" outlineLevel="0" collapsed="false">
      <c r="A93" s="7" t="s">
        <v>443</v>
      </c>
      <c r="B93" s="8" t="s">
        <v>444</v>
      </c>
      <c r="C93" s="8" t="s">
        <v>445</v>
      </c>
      <c r="D93" s="8" t="s">
        <v>446</v>
      </c>
      <c r="E93" s="7" t="s">
        <v>212</v>
      </c>
      <c r="F93" s="7" t="s">
        <v>47</v>
      </c>
      <c r="G93" s="7" t="n">
        <v>64</v>
      </c>
      <c r="H93" s="8" t="s">
        <v>59</v>
      </c>
      <c r="I93" s="8" t="s">
        <v>60</v>
      </c>
      <c r="J93" s="8" t="s">
        <v>50</v>
      </c>
      <c r="K93" s="8" t="s">
        <v>61</v>
      </c>
      <c r="L93" s="8" t="s">
        <v>254</v>
      </c>
      <c r="M93" s="7" t="n">
        <v>2</v>
      </c>
      <c r="N93" s="9" t="n">
        <v>78.55</v>
      </c>
      <c r="O93" s="10" t="n">
        <v>0.1</v>
      </c>
      <c r="P93" s="9" t="n">
        <v>141.39</v>
      </c>
      <c r="Q93" s="9" t="n">
        <v>48.47</v>
      </c>
      <c r="R93" s="8" t="s">
        <v>106</v>
      </c>
      <c r="S93" s="8" t="s">
        <v>96</v>
      </c>
    </row>
    <row r="94" customFormat="false" ht="15" hidden="false" customHeight="true" outlineLevel="0" collapsed="false">
      <c r="A94" s="11" t="s">
        <v>447</v>
      </c>
      <c r="B94" s="12" t="s">
        <v>448</v>
      </c>
      <c r="C94" s="12" t="s">
        <v>449</v>
      </c>
      <c r="D94" s="12" t="s">
        <v>252</v>
      </c>
      <c r="E94" s="11" t="s">
        <v>169</v>
      </c>
      <c r="F94" s="11" t="s">
        <v>25</v>
      </c>
      <c r="G94" s="11" t="n">
        <v>37</v>
      </c>
      <c r="H94" s="12" t="s">
        <v>69</v>
      </c>
      <c r="I94" s="12" t="s">
        <v>70</v>
      </c>
      <c r="J94" s="12" t="s">
        <v>50</v>
      </c>
      <c r="K94" s="12" t="s">
        <v>112</v>
      </c>
      <c r="L94" s="12" t="s">
        <v>158</v>
      </c>
      <c r="M94" s="11" t="n">
        <v>5</v>
      </c>
      <c r="N94" s="13" t="n">
        <v>74.22</v>
      </c>
      <c r="O94" s="14" t="n">
        <v>0.15</v>
      </c>
      <c r="P94" s="13" t="n">
        <v>315.46</v>
      </c>
      <c r="Q94" s="13" t="n">
        <v>201.55</v>
      </c>
      <c r="R94" s="12" t="s">
        <v>53</v>
      </c>
      <c r="S94" s="12" t="s">
        <v>96</v>
      </c>
    </row>
    <row r="95" customFormat="false" ht="15" hidden="false" customHeight="true" outlineLevel="0" collapsed="false">
      <c r="A95" s="7" t="s">
        <v>450</v>
      </c>
      <c r="B95" s="8" t="s">
        <v>451</v>
      </c>
      <c r="C95" s="8" t="s">
        <v>160</v>
      </c>
      <c r="D95" s="8" t="s">
        <v>410</v>
      </c>
      <c r="E95" s="7" t="s">
        <v>234</v>
      </c>
      <c r="F95" s="7" t="s">
        <v>47</v>
      </c>
      <c r="G95" s="7" t="n">
        <v>49</v>
      </c>
      <c r="H95" s="8" t="s">
        <v>48</v>
      </c>
      <c r="I95" s="8" t="s">
        <v>49</v>
      </c>
      <c r="J95" s="8" t="s">
        <v>50</v>
      </c>
      <c r="K95" s="8" t="s">
        <v>112</v>
      </c>
      <c r="L95" s="8" t="s">
        <v>143</v>
      </c>
      <c r="M95" s="7" t="n">
        <v>9</v>
      </c>
      <c r="N95" s="9" t="n">
        <v>11.94</v>
      </c>
      <c r="O95" s="10" t="n">
        <v>0</v>
      </c>
      <c r="P95" s="9" t="n">
        <v>107.43</v>
      </c>
      <c r="Q95" s="9" t="n">
        <v>59.53</v>
      </c>
      <c r="R95" s="8" t="s">
        <v>106</v>
      </c>
      <c r="S95" s="8" t="s">
        <v>54</v>
      </c>
    </row>
    <row r="96" customFormat="false" ht="15" hidden="false" customHeight="true" outlineLevel="0" collapsed="false">
      <c r="A96" s="11" t="s">
        <v>452</v>
      </c>
      <c r="B96" s="12" t="s">
        <v>453</v>
      </c>
      <c r="C96" s="12" t="s">
        <v>188</v>
      </c>
      <c r="D96" s="12" t="s">
        <v>76</v>
      </c>
      <c r="E96" s="11" t="s">
        <v>203</v>
      </c>
      <c r="F96" s="11" t="s">
        <v>25</v>
      </c>
      <c r="G96" s="11" t="n">
        <v>56</v>
      </c>
      <c r="H96" s="12" t="s">
        <v>348</v>
      </c>
      <c r="I96" s="12" t="s">
        <v>164</v>
      </c>
      <c r="J96" s="12" t="s">
        <v>79</v>
      </c>
      <c r="K96" s="12" t="s">
        <v>61</v>
      </c>
      <c r="L96" s="12" t="s">
        <v>401</v>
      </c>
      <c r="M96" s="11" t="n">
        <v>9</v>
      </c>
      <c r="N96" s="13" t="n">
        <v>236.81</v>
      </c>
      <c r="O96" s="14" t="n">
        <v>0.1</v>
      </c>
      <c r="P96" s="13" t="n">
        <v>1918.16</v>
      </c>
      <c r="Q96" s="13" t="n">
        <v>500.32</v>
      </c>
      <c r="R96" s="12" t="s">
        <v>106</v>
      </c>
      <c r="S96" s="12" t="s">
        <v>54</v>
      </c>
    </row>
    <row r="97" customFormat="false" ht="15" hidden="false" customHeight="true" outlineLevel="0" collapsed="false">
      <c r="A97" s="7" t="s">
        <v>454</v>
      </c>
      <c r="B97" s="8" t="s">
        <v>455</v>
      </c>
      <c r="C97" s="8" t="s">
        <v>456</v>
      </c>
      <c r="D97" s="8" t="s">
        <v>430</v>
      </c>
      <c r="E97" s="7" t="s">
        <v>439</v>
      </c>
      <c r="F97" s="7" t="s">
        <v>47</v>
      </c>
      <c r="G97" s="7" t="n">
        <v>65</v>
      </c>
      <c r="H97" s="8" t="s">
        <v>176</v>
      </c>
      <c r="I97" s="8" t="s">
        <v>177</v>
      </c>
      <c r="J97" s="8" t="s">
        <v>50</v>
      </c>
      <c r="K97" s="8" t="s">
        <v>29</v>
      </c>
      <c r="L97" s="8" t="s">
        <v>39</v>
      </c>
      <c r="M97" s="7" t="n">
        <v>1</v>
      </c>
      <c r="N97" s="9" t="n">
        <v>30.43</v>
      </c>
      <c r="O97" s="10" t="n">
        <v>0.15</v>
      </c>
      <c r="P97" s="9" t="n">
        <v>25.87</v>
      </c>
      <c r="Q97" s="9" t="n">
        <v>10.69</v>
      </c>
      <c r="R97" s="8" t="s">
        <v>106</v>
      </c>
      <c r="S97" s="8" t="s">
        <v>120</v>
      </c>
    </row>
    <row r="98" customFormat="false" ht="15" hidden="false" customHeight="true" outlineLevel="0" collapsed="false">
      <c r="A98" s="11" t="s">
        <v>457</v>
      </c>
      <c r="B98" s="12" t="s">
        <v>458</v>
      </c>
      <c r="C98" s="12" t="s">
        <v>167</v>
      </c>
      <c r="D98" s="12" t="s">
        <v>110</v>
      </c>
      <c r="E98" s="11" t="s">
        <v>459</v>
      </c>
      <c r="F98" s="11" t="s">
        <v>47</v>
      </c>
      <c r="G98" s="11" t="n">
        <v>28</v>
      </c>
      <c r="H98" s="12" t="s">
        <v>69</v>
      </c>
      <c r="I98" s="12" t="s">
        <v>70</v>
      </c>
      <c r="J98" s="12" t="s">
        <v>50</v>
      </c>
      <c r="K98" s="12" t="s">
        <v>134</v>
      </c>
      <c r="L98" s="12" t="s">
        <v>135</v>
      </c>
      <c r="M98" s="11" t="n">
        <v>10</v>
      </c>
      <c r="N98" s="13" t="n">
        <v>12.44</v>
      </c>
      <c r="O98" s="14" t="n">
        <v>0.05</v>
      </c>
      <c r="P98" s="13" t="n">
        <v>118.16</v>
      </c>
      <c r="Q98" s="13" t="n">
        <v>71.99</v>
      </c>
      <c r="R98" s="12" t="s">
        <v>40</v>
      </c>
      <c r="S98" s="12" t="s">
        <v>54</v>
      </c>
    </row>
    <row r="99" customFormat="false" ht="15" hidden="false" customHeight="true" outlineLevel="0" collapsed="false">
      <c r="A99" s="7" t="s">
        <v>460</v>
      </c>
      <c r="B99" s="8" t="s">
        <v>82</v>
      </c>
      <c r="C99" s="8" t="s">
        <v>83</v>
      </c>
      <c r="D99" s="8" t="s">
        <v>461</v>
      </c>
      <c r="E99" s="7" t="s">
        <v>101</v>
      </c>
      <c r="F99" s="7" t="s">
        <v>47</v>
      </c>
      <c r="G99" s="7" t="n">
        <v>23</v>
      </c>
      <c r="H99" s="8" t="s">
        <v>69</v>
      </c>
      <c r="I99" s="8" t="s">
        <v>70</v>
      </c>
      <c r="J99" s="8" t="s">
        <v>50</v>
      </c>
      <c r="K99" s="8" t="s">
        <v>112</v>
      </c>
      <c r="L99" s="8" t="s">
        <v>462</v>
      </c>
      <c r="M99" s="7" t="n">
        <v>9</v>
      </c>
      <c r="N99" s="9" t="n">
        <v>42.83</v>
      </c>
      <c r="O99" s="10" t="n">
        <v>0.15</v>
      </c>
      <c r="P99" s="9" t="n">
        <v>327.65</v>
      </c>
      <c r="Q99" s="9" t="n">
        <v>223.79</v>
      </c>
      <c r="R99" s="8" t="s">
        <v>72</v>
      </c>
      <c r="S99" s="8" t="s">
        <v>80</v>
      </c>
    </row>
    <row r="100" customFormat="false" ht="15" hidden="false" customHeight="true" outlineLevel="0" collapsed="false">
      <c r="A100" s="11" t="s">
        <v>463</v>
      </c>
      <c r="B100" s="12" t="s">
        <v>464</v>
      </c>
      <c r="C100" s="12" t="s">
        <v>465</v>
      </c>
      <c r="D100" s="12" t="s">
        <v>336</v>
      </c>
      <c r="E100" s="11" t="s">
        <v>162</v>
      </c>
      <c r="F100" s="11" t="s">
        <v>47</v>
      </c>
      <c r="G100" s="11" t="n">
        <v>33</v>
      </c>
      <c r="H100" s="12" t="s">
        <v>184</v>
      </c>
      <c r="I100" s="12" t="s">
        <v>185</v>
      </c>
      <c r="J100" s="12" t="s">
        <v>88</v>
      </c>
      <c r="K100" s="12" t="s">
        <v>134</v>
      </c>
      <c r="L100" s="12" t="s">
        <v>466</v>
      </c>
      <c r="M100" s="11" t="n">
        <v>8</v>
      </c>
      <c r="N100" s="13" t="n">
        <v>21.67</v>
      </c>
      <c r="O100" s="14" t="n">
        <v>0</v>
      </c>
      <c r="P100" s="13" t="n">
        <v>173.35</v>
      </c>
      <c r="Q100" s="13" t="n">
        <v>92.1</v>
      </c>
      <c r="R100" s="12" t="s">
        <v>31</v>
      </c>
      <c r="S100" s="12" t="s">
        <v>96</v>
      </c>
    </row>
    <row r="101" customFormat="false" ht="15" hidden="false" customHeight="true" outlineLevel="0" collapsed="false">
      <c r="A101" s="7" t="s">
        <v>467</v>
      </c>
      <c r="B101" s="8" t="s">
        <v>425</v>
      </c>
      <c r="C101" s="8" t="s">
        <v>468</v>
      </c>
      <c r="D101" s="8" t="s">
        <v>469</v>
      </c>
      <c r="E101" s="7" t="s">
        <v>175</v>
      </c>
      <c r="F101" s="7" t="s">
        <v>25</v>
      </c>
      <c r="G101" s="7" t="n">
        <v>63</v>
      </c>
      <c r="H101" s="8" t="s">
        <v>59</v>
      </c>
      <c r="I101" s="8" t="s">
        <v>60</v>
      </c>
      <c r="J101" s="8" t="s">
        <v>50</v>
      </c>
      <c r="K101" s="8" t="s">
        <v>61</v>
      </c>
      <c r="L101" s="8" t="s">
        <v>401</v>
      </c>
      <c r="M101" s="7" t="n">
        <v>3</v>
      </c>
      <c r="N101" s="9" t="n">
        <v>181.01</v>
      </c>
      <c r="O101" s="10" t="n">
        <v>0</v>
      </c>
      <c r="P101" s="9" t="n">
        <v>543.02</v>
      </c>
      <c r="Q101" s="9" t="n">
        <v>202.78</v>
      </c>
      <c r="R101" s="8" t="s">
        <v>53</v>
      </c>
      <c r="S101" s="8" t="s">
        <v>128</v>
      </c>
    </row>
    <row r="102" customFormat="false" ht="15" hidden="false" customHeight="true" outlineLevel="0" collapsed="false">
      <c r="A102" s="11" t="s">
        <v>470</v>
      </c>
      <c r="B102" s="12" t="s">
        <v>471</v>
      </c>
      <c r="C102" s="12" t="s">
        <v>472</v>
      </c>
      <c r="D102" s="12" t="s">
        <v>333</v>
      </c>
      <c r="E102" s="11" t="s">
        <v>358</v>
      </c>
      <c r="F102" s="11" t="s">
        <v>25</v>
      </c>
      <c r="G102" s="11" t="n">
        <v>36</v>
      </c>
      <c r="H102" s="12" t="s">
        <v>190</v>
      </c>
      <c r="I102" s="12" t="s">
        <v>142</v>
      </c>
      <c r="J102" s="12" t="s">
        <v>88</v>
      </c>
      <c r="K102" s="12" t="s">
        <v>51</v>
      </c>
      <c r="L102" s="12" t="s">
        <v>127</v>
      </c>
      <c r="M102" s="11" t="n">
        <v>3</v>
      </c>
      <c r="N102" s="13" t="n">
        <v>267.38</v>
      </c>
      <c r="O102" s="14" t="n">
        <v>0.15</v>
      </c>
      <c r="P102" s="13" t="n">
        <v>681.82</v>
      </c>
      <c r="Q102" s="13" t="n">
        <v>156.53</v>
      </c>
      <c r="R102" s="12" t="s">
        <v>72</v>
      </c>
      <c r="S102" s="12" t="s">
        <v>73</v>
      </c>
    </row>
    <row r="103" customFormat="false" ht="15" hidden="false" customHeight="true" outlineLevel="0" collapsed="false">
      <c r="A103" s="7" t="s">
        <v>473</v>
      </c>
      <c r="B103" s="8" t="s">
        <v>474</v>
      </c>
      <c r="C103" s="8" t="s">
        <v>475</v>
      </c>
      <c r="D103" s="8" t="s">
        <v>476</v>
      </c>
      <c r="E103" s="7" t="s">
        <v>477</v>
      </c>
      <c r="F103" s="7" t="s">
        <v>25</v>
      </c>
      <c r="G103" s="7" t="n">
        <v>63</v>
      </c>
      <c r="H103" s="8" t="s">
        <v>156</v>
      </c>
      <c r="I103" s="8" t="s">
        <v>157</v>
      </c>
      <c r="J103" s="8" t="s">
        <v>28</v>
      </c>
      <c r="K103" s="8" t="s">
        <v>134</v>
      </c>
      <c r="L103" s="8" t="s">
        <v>407</v>
      </c>
      <c r="M103" s="7" t="n">
        <v>2</v>
      </c>
      <c r="N103" s="9" t="n">
        <v>65.16</v>
      </c>
      <c r="O103" s="10" t="n">
        <v>0.05</v>
      </c>
      <c r="P103" s="9" t="n">
        <v>123.8</v>
      </c>
      <c r="Q103" s="9" t="n">
        <v>70.72</v>
      </c>
      <c r="R103" s="8" t="s">
        <v>72</v>
      </c>
      <c r="S103" s="8" t="s">
        <v>90</v>
      </c>
    </row>
    <row r="104" customFormat="false" ht="15" hidden="false" customHeight="true" outlineLevel="0" collapsed="false">
      <c r="A104" s="11" t="s">
        <v>478</v>
      </c>
      <c r="B104" s="12" t="s">
        <v>479</v>
      </c>
      <c r="C104" s="12" t="s">
        <v>108</v>
      </c>
      <c r="D104" s="12" t="s">
        <v>420</v>
      </c>
      <c r="E104" s="11" t="s">
        <v>183</v>
      </c>
      <c r="F104" s="11" t="s">
        <v>25</v>
      </c>
      <c r="G104" s="11" t="n">
        <v>51</v>
      </c>
      <c r="H104" s="12" t="s">
        <v>266</v>
      </c>
      <c r="I104" s="12" t="s">
        <v>78</v>
      </c>
      <c r="J104" s="12" t="s">
        <v>79</v>
      </c>
      <c r="K104" s="12" t="s">
        <v>61</v>
      </c>
      <c r="L104" s="12" t="s">
        <v>378</v>
      </c>
      <c r="M104" s="11" t="n">
        <v>7</v>
      </c>
      <c r="N104" s="13" t="n">
        <v>739.94</v>
      </c>
      <c r="O104" s="14" t="n">
        <v>0.15</v>
      </c>
      <c r="P104" s="13" t="n">
        <v>4402.65</v>
      </c>
      <c r="Q104" s="13" t="n">
        <v>1175.33</v>
      </c>
      <c r="R104" s="12" t="s">
        <v>40</v>
      </c>
      <c r="S104" s="12" t="s">
        <v>120</v>
      </c>
    </row>
    <row r="105" customFormat="false" ht="15" hidden="false" customHeight="true" outlineLevel="0" collapsed="false">
      <c r="A105" s="7" t="s">
        <v>480</v>
      </c>
      <c r="B105" s="8" t="s">
        <v>481</v>
      </c>
      <c r="C105" s="8" t="s">
        <v>482</v>
      </c>
      <c r="D105" s="8" t="s">
        <v>364</v>
      </c>
      <c r="E105" s="7" t="s">
        <v>358</v>
      </c>
      <c r="F105" s="7" t="s">
        <v>25</v>
      </c>
      <c r="G105" s="7" t="n">
        <v>40</v>
      </c>
      <c r="H105" s="8" t="s">
        <v>38</v>
      </c>
      <c r="I105" s="8" t="s">
        <v>27</v>
      </c>
      <c r="J105" s="8" t="s">
        <v>28</v>
      </c>
      <c r="K105" s="8" t="s">
        <v>134</v>
      </c>
      <c r="L105" s="8" t="s">
        <v>407</v>
      </c>
      <c r="M105" s="7" t="n">
        <v>7</v>
      </c>
      <c r="N105" s="9" t="n">
        <v>68.33</v>
      </c>
      <c r="O105" s="10" t="n">
        <v>0</v>
      </c>
      <c r="P105" s="9" t="n">
        <v>478.33</v>
      </c>
      <c r="Q105" s="9" t="n">
        <v>289.11</v>
      </c>
      <c r="R105" s="8" t="s">
        <v>144</v>
      </c>
      <c r="S105" s="8" t="s">
        <v>73</v>
      </c>
    </row>
    <row r="106" customFormat="false" ht="15" hidden="false" customHeight="true" outlineLevel="0" collapsed="false">
      <c r="A106" s="11" t="s">
        <v>483</v>
      </c>
      <c r="B106" s="12" t="s">
        <v>484</v>
      </c>
      <c r="C106" s="12" t="s">
        <v>485</v>
      </c>
      <c r="D106" s="12" t="s">
        <v>486</v>
      </c>
      <c r="E106" s="11" t="s">
        <v>487</v>
      </c>
      <c r="F106" s="11" t="s">
        <v>47</v>
      </c>
      <c r="G106" s="11" t="n">
        <v>58</v>
      </c>
      <c r="H106" s="12" t="s">
        <v>38</v>
      </c>
      <c r="I106" s="12" t="s">
        <v>27</v>
      </c>
      <c r="J106" s="12" t="s">
        <v>28</v>
      </c>
      <c r="K106" s="12" t="s">
        <v>61</v>
      </c>
      <c r="L106" s="12" t="s">
        <v>374</v>
      </c>
      <c r="M106" s="11" t="n">
        <v>6</v>
      </c>
      <c r="N106" s="13" t="n">
        <v>320.52</v>
      </c>
      <c r="O106" s="14" t="n">
        <v>0.2</v>
      </c>
      <c r="P106" s="13" t="n">
        <v>1538.5</v>
      </c>
      <c r="Q106" s="13" t="n">
        <v>520.44</v>
      </c>
      <c r="R106" s="12" t="s">
        <v>106</v>
      </c>
      <c r="S106" s="12" t="s">
        <v>73</v>
      </c>
    </row>
    <row r="107" customFormat="false" ht="15" hidden="false" customHeight="true" outlineLevel="0" collapsed="false">
      <c r="A107" s="7" t="s">
        <v>488</v>
      </c>
      <c r="B107" s="8" t="s">
        <v>489</v>
      </c>
      <c r="C107" s="8" t="s">
        <v>428</v>
      </c>
      <c r="D107" s="8" t="s">
        <v>490</v>
      </c>
      <c r="E107" s="7" t="s">
        <v>175</v>
      </c>
      <c r="F107" s="7" t="s">
        <v>47</v>
      </c>
      <c r="G107" s="7" t="n">
        <v>52</v>
      </c>
      <c r="H107" s="8" t="s">
        <v>38</v>
      </c>
      <c r="I107" s="8" t="s">
        <v>27</v>
      </c>
      <c r="J107" s="8" t="s">
        <v>28</v>
      </c>
      <c r="K107" s="8" t="s">
        <v>61</v>
      </c>
      <c r="L107" s="8" t="s">
        <v>378</v>
      </c>
      <c r="M107" s="7" t="n">
        <v>4</v>
      </c>
      <c r="N107" s="9" t="n">
        <v>963.45</v>
      </c>
      <c r="O107" s="10" t="n">
        <v>0</v>
      </c>
      <c r="P107" s="9" t="n">
        <v>3853.81</v>
      </c>
      <c r="Q107" s="9" t="n">
        <v>1447</v>
      </c>
      <c r="R107" s="8" t="s">
        <v>72</v>
      </c>
      <c r="S107" s="8" t="s">
        <v>32</v>
      </c>
    </row>
    <row r="108" customFormat="false" ht="15" hidden="false" customHeight="true" outlineLevel="0" collapsed="false">
      <c r="A108" s="11" t="s">
        <v>491</v>
      </c>
      <c r="B108" s="12" t="s">
        <v>492</v>
      </c>
      <c r="C108" s="12" t="s">
        <v>493</v>
      </c>
      <c r="D108" s="12" t="s">
        <v>290</v>
      </c>
      <c r="E108" s="11" t="s">
        <v>347</v>
      </c>
      <c r="F108" s="11" t="s">
        <v>47</v>
      </c>
      <c r="G108" s="11" t="n">
        <v>42</v>
      </c>
      <c r="H108" s="12" t="s">
        <v>38</v>
      </c>
      <c r="I108" s="12" t="s">
        <v>27</v>
      </c>
      <c r="J108" s="12" t="s">
        <v>28</v>
      </c>
      <c r="K108" s="12" t="s">
        <v>61</v>
      </c>
      <c r="L108" s="12" t="s">
        <v>404</v>
      </c>
      <c r="M108" s="11" t="n">
        <v>6</v>
      </c>
      <c r="N108" s="13" t="n">
        <v>115.11</v>
      </c>
      <c r="O108" s="14" t="n">
        <v>0.2</v>
      </c>
      <c r="P108" s="13" t="n">
        <v>552.55</v>
      </c>
      <c r="Q108" s="13" t="n">
        <v>167.48</v>
      </c>
      <c r="R108" s="12" t="s">
        <v>106</v>
      </c>
      <c r="S108" s="12" t="s">
        <v>80</v>
      </c>
    </row>
    <row r="109" customFormat="false" ht="15" hidden="false" customHeight="true" outlineLevel="0" collapsed="false">
      <c r="A109" s="7" t="s">
        <v>494</v>
      </c>
      <c r="B109" s="8" t="s">
        <v>495</v>
      </c>
      <c r="C109" s="8" t="s">
        <v>496</v>
      </c>
      <c r="D109" s="8" t="s">
        <v>497</v>
      </c>
      <c r="E109" s="7" t="s">
        <v>421</v>
      </c>
      <c r="F109" s="7" t="s">
        <v>47</v>
      </c>
      <c r="G109" s="7" t="n">
        <v>38</v>
      </c>
      <c r="H109" s="8" t="s">
        <v>156</v>
      </c>
      <c r="I109" s="8" t="s">
        <v>157</v>
      </c>
      <c r="J109" s="8" t="s">
        <v>28</v>
      </c>
      <c r="K109" s="8" t="s">
        <v>61</v>
      </c>
      <c r="L109" s="8" t="s">
        <v>235</v>
      </c>
      <c r="M109" s="7" t="n">
        <v>7</v>
      </c>
      <c r="N109" s="9" t="n">
        <v>30.85</v>
      </c>
      <c r="O109" s="10" t="n">
        <v>0.1</v>
      </c>
      <c r="P109" s="9" t="n">
        <v>194.39</v>
      </c>
      <c r="Q109" s="9" t="n">
        <v>74.52</v>
      </c>
      <c r="R109" s="8" t="s">
        <v>31</v>
      </c>
      <c r="S109" s="8" t="s">
        <v>96</v>
      </c>
    </row>
    <row r="110" customFormat="false" ht="15" hidden="false" customHeight="true" outlineLevel="0" collapsed="false">
      <c r="A110" s="11" t="s">
        <v>498</v>
      </c>
      <c r="B110" s="12" t="s">
        <v>499</v>
      </c>
      <c r="C110" s="12" t="s">
        <v>500</v>
      </c>
      <c r="D110" s="12" t="s">
        <v>501</v>
      </c>
      <c r="E110" s="11" t="s">
        <v>133</v>
      </c>
      <c r="F110" s="11" t="s">
        <v>47</v>
      </c>
      <c r="G110" s="11" t="n">
        <v>57</v>
      </c>
      <c r="H110" s="12" t="s">
        <v>369</v>
      </c>
      <c r="I110" s="12" t="s">
        <v>164</v>
      </c>
      <c r="J110" s="12" t="s">
        <v>79</v>
      </c>
      <c r="K110" s="12" t="s">
        <v>61</v>
      </c>
      <c r="L110" s="12" t="s">
        <v>62</v>
      </c>
      <c r="M110" s="11" t="n">
        <v>7</v>
      </c>
      <c r="N110" s="13" t="n">
        <v>41.25</v>
      </c>
      <c r="O110" s="14" t="n">
        <v>0.05</v>
      </c>
      <c r="P110" s="13" t="n">
        <v>274.31</v>
      </c>
      <c r="Q110" s="13" t="n">
        <v>82.57</v>
      </c>
      <c r="R110" s="12" t="s">
        <v>72</v>
      </c>
      <c r="S110" s="12" t="s">
        <v>32</v>
      </c>
    </row>
    <row r="111" customFormat="false" ht="15" hidden="false" customHeight="true" outlineLevel="0" collapsed="false">
      <c r="A111" s="7" t="s">
        <v>502</v>
      </c>
      <c r="B111" s="8" t="s">
        <v>350</v>
      </c>
      <c r="C111" s="8" t="s">
        <v>503</v>
      </c>
      <c r="D111" s="8" t="s">
        <v>504</v>
      </c>
      <c r="E111" s="7" t="s">
        <v>85</v>
      </c>
      <c r="F111" s="7" t="s">
        <v>25</v>
      </c>
      <c r="G111" s="7" t="n">
        <v>56</v>
      </c>
      <c r="H111" s="8" t="s">
        <v>69</v>
      </c>
      <c r="I111" s="8" t="s">
        <v>70</v>
      </c>
      <c r="J111" s="8" t="s">
        <v>50</v>
      </c>
      <c r="K111" s="8" t="s">
        <v>112</v>
      </c>
      <c r="L111" s="8" t="s">
        <v>505</v>
      </c>
      <c r="M111" s="7" t="n">
        <v>9</v>
      </c>
      <c r="N111" s="9" t="n">
        <v>17.56</v>
      </c>
      <c r="O111" s="10" t="n">
        <v>0.15</v>
      </c>
      <c r="P111" s="9" t="n">
        <v>134.31</v>
      </c>
      <c r="Q111" s="9" t="n">
        <v>69.63</v>
      </c>
      <c r="R111" s="8" t="s">
        <v>31</v>
      </c>
      <c r="S111" s="8" t="s">
        <v>54</v>
      </c>
    </row>
    <row r="112" customFormat="false" ht="15" hidden="false" customHeight="true" outlineLevel="0" collapsed="false">
      <c r="A112" s="11" t="s">
        <v>506</v>
      </c>
      <c r="B112" s="12" t="s">
        <v>507</v>
      </c>
      <c r="C112" s="12" t="s">
        <v>508</v>
      </c>
      <c r="D112" s="12" t="s">
        <v>509</v>
      </c>
      <c r="E112" s="11" t="s">
        <v>85</v>
      </c>
      <c r="F112" s="11" t="s">
        <v>47</v>
      </c>
      <c r="G112" s="11" t="n">
        <v>41</v>
      </c>
      <c r="H112" s="12" t="s">
        <v>69</v>
      </c>
      <c r="I112" s="12" t="s">
        <v>70</v>
      </c>
      <c r="J112" s="12" t="s">
        <v>50</v>
      </c>
      <c r="K112" s="12" t="s">
        <v>112</v>
      </c>
      <c r="L112" s="12" t="s">
        <v>113</v>
      </c>
      <c r="M112" s="11" t="n">
        <v>7</v>
      </c>
      <c r="N112" s="13" t="n">
        <v>30.74</v>
      </c>
      <c r="O112" s="14" t="n">
        <v>0</v>
      </c>
      <c r="P112" s="13" t="n">
        <v>215.21</v>
      </c>
      <c r="Q112" s="13" t="n">
        <v>134.55</v>
      </c>
      <c r="R112" s="12" t="s">
        <v>31</v>
      </c>
      <c r="S112" s="12" t="s">
        <v>128</v>
      </c>
    </row>
    <row r="113" customFormat="false" ht="15" hidden="false" customHeight="true" outlineLevel="0" collapsed="false">
      <c r="A113" s="7" t="s">
        <v>510</v>
      </c>
      <c r="B113" s="8" t="s">
        <v>376</v>
      </c>
      <c r="C113" s="8" t="s">
        <v>511</v>
      </c>
      <c r="D113" s="8" t="s">
        <v>497</v>
      </c>
      <c r="E113" s="7" t="s">
        <v>162</v>
      </c>
      <c r="F113" s="7" t="s">
        <v>47</v>
      </c>
      <c r="G113" s="7" t="n">
        <v>51</v>
      </c>
      <c r="H113" s="8" t="s">
        <v>59</v>
      </c>
      <c r="I113" s="8" t="s">
        <v>60</v>
      </c>
      <c r="J113" s="8" t="s">
        <v>50</v>
      </c>
      <c r="K113" s="8" t="s">
        <v>61</v>
      </c>
      <c r="L113" s="8" t="s">
        <v>360</v>
      </c>
      <c r="M113" s="7" t="n">
        <v>5</v>
      </c>
      <c r="N113" s="9" t="n">
        <v>237.46</v>
      </c>
      <c r="O113" s="10" t="n">
        <v>0</v>
      </c>
      <c r="P113" s="9" t="n">
        <v>1187.31</v>
      </c>
      <c r="Q113" s="9" t="n">
        <v>307.89</v>
      </c>
      <c r="R113" s="8" t="s">
        <v>40</v>
      </c>
      <c r="S113" s="8" t="s">
        <v>73</v>
      </c>
    </row>
    <row r="114" customFormat="false" ht="15" hidden="false" customHeight="true" outlineLevel="0" collapsed="false">
      <c r="A114" s="11" t="s">
        <v>512</v>
      </c>
      <c r="B114" s="12" t="s">
        <v>513</v>
      </c>
      <c r="C114" s="12" t="s">
        <v>514</v>
      </c>
      <c r="D114" s="12" t="s">
        <v>515</v>
      </c>
      <c r="E114" s="11" t="s">
        <v>326</v>
      </c>
      <c r="F114" s="11" t="s">
        <v>25</v>
      </c>
      <c r="G114" s="11" t="n">
        <v>46</v>
      </c>
      <c r="H114" s="12" t="s">
        <v>190</v>
      </c>
      <c r="I114" s="12" t="s">
        <v>142</v>
      </c>
      <c r="J114" s="12" t="s">
        <v>88</v>
      </c>
      <c r="K114" s="12" t="s">
        <v>61</v>
      </c>
      <c r="L114" s="12" t="s">
        <v>62</v>
      </c>
      <c r="M114" s="11" t="n">
        <v>10</v>
      </c>
      <c r="N114" s="13" t="n">
        <v>43.39</v>
      </c>
      <c r="O114" s="14" t="n">
        <v>0.05</v>
      </c>
      <c r="P114" s="13" t="n">
        <v>412.21</v>
      </c>
      <c r="Q114" s="13" t="n">
        <v>116.09</v>
      </c>
      <c r="R114" s="12" t="s">
        <v>144</v>
      </c>
      <c r="S114" s="12" t="s">
        <v>80</v>
      </c>
    </row>
    <row r="115" customFormat="false" ht="15" hidden="false" customHeight="true" outlineLevel="0" collapsed="false">
      <c r="A115" s="7" t="s">
        <v>516</v>
      </c>
      <c r="B115" s="8" t="s">
        <v>517</v>
      </c>
      <c r="C115" s="8" t="s">
        <v>518</v>
      </c>
      <c r="D115" s="8" t="s">
        <v>519</v>
      </c>
      <c r="E115" s="7" t="s">
        <v>118</v>
      </c>
      <c r="F115" s="7" t="s">
        <v>25</v>
      </c>
      <c r="G115" s="7" t="n">
        <v>41</v>
      </c>
      <c r="H115" s="8" t="s">
        <v>69</v>
      </c>
      <c r="I115" s="8" t="s">
        <v>70</v>
      </c>
      <c r="J115" s="8" t="s">
        <v>50</v>
      </c>
      <c r="K115" s="8" t="s">
        <v>112</v>
      </c>
      <c r="L115" s="8" t="s">
        <v>113</v>
      </c>
      <c r="M115" s="7" t="n">
        <v>2</v>
      </c>
      <c r="N115" s="9" t="n">
        <v>26.75</v>
      </c>
      <c r="O115" s="10" t="n">
        <v>0</v>
      </c>
      <c r="P115" s="9" t="n">
        <v>53.5</v>
      </c>
      <c r="Q115" s="9" t="n">
        <v>37.12</v>
      </c>
      <c r="R115" s="8" t="s">
        <v>106</v>
      </c>
      <c r="S115" s="8" t="s">
        <v>73</v>
      </c>
    </row>
    <row r="116" customFormat="false" ht="15" hidden="false" customHeight="true" outlineLevel="0" collapsed="false">
      <c r="A116" s="11" t="s">
        <v>520</v>
      </c>
      <c r="B116" s="12" t="s">
        <v>521</v>
      </c>
      <c r="C116" s="12" t="s">
        <v>468</v>
      </c>
      <c r="D116" s="12" t="s">
        <v>174</v>
      </c>
      <c r="E116" s="11" t="s">
        <v>291</v>
      </c>
      <c r="F116" s="11" t="s">
        <v>25</v>
      </c>
      <c r="G116" s="11" t="n">
        <v>57</v>
      </c>
      <c r="H116" s="12" t="s">
        <v>163</v>
      </c>
      <c r="I116" s="12" t="s">
        <v>164</v>
      </c>
      <c r="J116" s="12" t="s">
        <v>79</v>
      </c>
      <c r="K116" s="12" t="s">
        <v>104</v>
      </c>
      <c r="L116" s="12" t="s">
        <v>105</v>
      </c>
      <c r="M116" s="11" t="n">
        <v>1</v>
      </c>
      <c r="N116" s="13" t="n">
        <v>89.49</v>
      </c>
      <c r="O116" s="14" t="n">
        <v>0.1</v>
      </c>
      <c r="P116" s="13" t="n">
        <v>80.54</v>
      </c>
      <c r="Q116" s="13" t="n">
        <v>32.05</v>
      </c>
      <c r="R116" s="12" t="s">
        <v>31</v>
      </c>
      <c r="S116" s="12" t="s">
        <v>63</v>
      </c>
    </row>
    <row r="117" customFormat="false" ht="15" hidden="false" customHeight="true" outlineLevel="0" collapsed="false">
      <c r="A117" s="7" t="s">
        <v>522</v>
      </c>
      <c r="B117" s="8" t="s">
        <v>523</v>
      </c>
      <c r="C117" s="8" t="s">
        <v>524</v>
      </c>
      <c r="D117" s="8" t="s">
        <v>252</v>
      </c>
      <c r="E117" s="7" t="s">
        <v>258</v>
      </c>
      <c r="F117" s="7" t="s">
        <v>47</v>
      </c>
      <c r="G117" s="7" t="n">
        <v>59</v>
      </c>
      <c r="H117" s="8" t="s">
        <v>348</v>
      </c>
      <c r="I117" s="8" t="s">
        <v>164</v>
      </c>
      <c r="J117" s="8" t="s">
        <v>79</v>
      </c>
      <c r="K117" s="8" t="s">
        <v>112</v>
      </c>
      <c r="L117" s="8" t="s">
        <v>462</v>
      </c>
      <c r="M117" s="7" t="n">
        <v>7</v>
      </c>
      <c r="N117" s="9" t="n">
        <v>40.52</v>
      </c>
      <c r="O117" s="10" t="n">
        <v>0.2</v>
      </c>
      <c r="P117" s="9" t="n">
        <v>226.9</v>
      </c>
      <c r="Q117" s="9" t="n">
        <v>140.22</v>
      </c>
      <c r="R117" s="8" t="s">
        <v>53</v>
      </c>
      <c r="S117" s="8" t="s">
        <v>80</v>
      </c>
    </row>
    <row r="118" customFormat="false" ht="15" hidden="false" customHeight="true" outlineLevel="0" collapsed="false">
      <c r="A118" s="11" t="s">
        <v>525</v>
      </c>
      <c r="B118" s="12" t="s">
        <v>526</v>
      </c>
      <c r="C118" s="12" t="s">
        <v>193</v>
      </c>
      <c r="D118" s="12" t="s">
        <v>412</v>
      </c>
      <c r="E118" s="11" t="s">
        <v>311</v>
      </c>
      <c r="F118" s="11" t="s">
        <v>25</v>
      </c>
      <c r="G118" s="11" t="n">
        <v>51</v>
      </c>
      <c r="H118" s="12" t="s">
        <v>77</v>
      </c>
      <c r="I118" s="12" t="s">
        <v>78</v>
      </c>
      <c r="J118" s="12" t="s">
        <v>79</v>
      </c>
      <c r="K118" s="12" t="s">
        <v>61</v>
      </c>
      <c r="L118" s="12" t="s">
        <v>374</v>
      </c>
      <c r="M118" s="11" t="n">
        <v>10</v>
      </c>
      <c r="N118" s="13" t="n">
        <v>276.84</v>
      </c>
      <c r="O118" s="14" t="n">
        <v>0</v>
      </c>
      <c r="P118" s="13" t="n">
        <v>2768.36</v>
      </c>
      <c r="Q118" s="13" t="n">
        <v>862</v>
      </c>
      <c r="R118" s="12" t="s">
        <v>72</v>
      </c>
      <c r="S118" s="12" t="s">
        <v>54</v>
      </c>
    </row>
    <row r="119" customFormat="false" ht="15" hidden="false" customHeight="true" outlineLevel="0" collapsed="false">
      <c r="A119" s="7" t="s">
        <v>527</v>
      </c>
      <c r="B119" s="8" t="s">
        <v>260</v>
      </c>
      <c r="C119" s="8" t="s">
        <v>215</v>
      </c>
      <c r="D119" s="8" t="s">
        <v>216</v>
      </c>
      <c r="E119" s="7" t="s">
        <v>321</v>
      </c>
      <c r="F119" s="7" t="s">
        <v>47</v>
      </c>
      <c r="G119" s="7" t="n">
        <v>26</v>
      </c>
      <c r="H119" s="8" t="s">
        <v>69</v>
      </c>
      <c r="I119" s="8" t="s">
        <v>70</v>
      </c>
      <c r="J119" s="8" t="s">
        <v>50</v>
      </c>
      <c r="K119" s="8" t="s">
        <v>112</v>
      </c>
      <c r="L119" s="8" t="s">
        <v>330</v>
      </c>
      <c r="M119" s="7" t="n">
        <v>9</v>
      </c>
      <c r="N119" s="9" t="n">
        <v>9.66</v>
      </c>
      <c r="O119" s="10" t="n">
        <v>0.2</v>
      </c>
      <c r="P119" s="9" t="n">
        <v>69.58</v>
      </c>
      <c r="Q119" s="9" t="n">
        <v>34.72</v>
      </c>
      <c r="R119" s="8" t="s">
        <v>40</v>
      </c>
      <c r="S119" s="8" t="s">
        <v>120</v>
      </c>
    </row>
    <row r="120" customFormat="false" ht="15" hidden="false" customHeight="true" outlineLevel="0" collapsed="false">
      <c r="A120" s="11" t="s">
        <v>528</v>
      </c>
      <c r="B120" s="12" t="s">
        <v>529</v>
      </c>
      <c r="C120" s="12" t="s">
        <v>530</v>
      </c>
      <c r="D120" s="12" t="s">
        <v>426</v>
      </c>
      <c r="E120" s="11" t="s">
        <v>95</v>
      </c>
      <c r="F120" s="11" t="s">
        <v>47</v>
      </c>
      <c r="G120" s="11" t="n">
        <v>54</v>
      </c>
      <c r="H120" s="12" t="s">
        <v>266</v>
      </c>
      <c r="I120" s="12" t="s">
        <v>78</v>
      </c>
      <c r="J120" s="12" t="s">
        <v>79</v>
      </c>
      <c r="K120" s="12" t="s">
        <v>112</v>
      </c>
      <c r="L120" s="12" t="s">
        <v>158</v>
      </c>
      <c r="M120" s="11" t="n">
        <v>10</v>
      </c>
      <c r="N120" s="13" t="n">
        <v>54.7</v>
      </c>
      <c r="O120" s="14" t="n">
        <v>0.15</v>
      </c>
      <c r="P120" s="13" t="n">
        <v>464.96</v>
      </c>
      <c r="Q120" s="13" t="n">
        <v>292.87</v>
      </c>
      <c r="R120" s="12" t="s">
        <v>31</v>
      </c>
      <c r="S120" s="12" t="s">
        <v>73</v>
      </c>
    </row>
    <row r="121" customFormat="false" ht="15" hidden="false" customHeight="true" outlineLevel="0" collapsed="false">
      <c r="A121" s="7" t="s">
        <v>531</v>
      </c>
      <c r="B121" s="8" t="s">
        <v>532</v>
      </c>
      <c r="C121" s="8" t="s">
        <v>275</v>
      </c>
      <c r="D121" s="8" t="s">
        <v>23</v>
      </c>
      <c r="E121" s="7" t="s">
        <v>321</v>
      </c>
      <c r="F121" s="7" t="s">
        <v>47</v>
      </c>
      <c r="G121" s="7" t="n">
        <v>59</v>
      </c>
      <c r="H121" s="8" t="s">
        <v>190</v>
      </c>
      <c r="I121" s="8" t="s">
        <v>142</v>
      </c>
      <c r="J121" s="8" t="s">
        <v>88</v>
      </c>
      <c r="K121" s="8" t="s">
        <v>29</v>
      </c>
      <c r="L121" s="8" t="s">
        <v>261</v>
      </c>
      <c r="M121" s="7" t="n">
        <v>10</v>
      </c>
      <c r="N121" s="9" t="n">
        <v>45.75</v>
      </c>
      <c r="O121" s="10" t="n">
        <v>0.15</v>
      </c>
      <c r="P121" s="9" t="n">
        <v>388.86</v>
      </c>
      <c r="Q121" s="9" t="n">
        <v>120</v>
      </c>
      <c r="R121" s="8" t="s">
        <v>53</v>
      </c>
      <c r="S121" s="8" t="s">
        <v>41</v>
      </c>
    </row>
    <row r="122" customFormat="false" ht="15" hidden="false" customHeight="true" outlineLevel="0" collapsed="false">
      <c r="A122" s="11" t="s">
        <v>533</v>
      </c>
      <c r="B122" s="12" t="s">
        <v>219</v>
      </c>
      <c r="C122" s="12" t="s">
        <v>193</v>
      </c>
      <c r="D122" s="12" t="s">
        <v>45</v>
      </c>
      <c r="E122" s="11" t="s">
        <v>477</v>
      </c>
      <c r="F122" s="11" t="s">
        <v>47</v>
      </c>
      <c r="G122" s="11" t="n">
        <v>56</v>
      </c>
      <c r="H122" s="12" t="s">
        <v>156</v>
      </c>
      <c r="I122" s="12" t="s">
        <v>157</v>
      </c>
      <c r="J122" s="12" t="s">
        <v>28</v>
      </c>
      <c r="K122" s="12" t="s">
        <v>61</v>
      </c>
      <c r="L122" s="12" t="s">
        <v>62</v>
      </c>
      <c r="M122" s="11" t="n">
        <v>1</v>
      </c>
      <c r="N122" s="13" t="n">
        <v>41.1</v>
      </c>
      <c r="O122" s="14" t="n">
        <v>0.05</v>
      </c>
      <c r="P122" s="13" t="n">
        <v>39.04</v>
      </c>
      <c r="Q122" s="13" t="n">
        <v>12.41</v>
      </c>
      <c r="R122" s="12" t="s">
        <v>72</v>
      </c>
      <c r="S122" s="12" t="s">
        <v>96</v>
      </c>
    </row>
    <row r="123" customFormat="false" ht="15" hidden="false" customHeight="true" outlineLevel="0" collapsed="false">
      <c r="A123" s="7" t="s">
        <v>534</v>
      </c>
      <c r="B123" s="8" t="s">
        <v>535</v>
      </c>
      <c r="C123" s="8" t="s">
        <v>223</v>
      </c>
      <c r="D123" s="8" t="s">
        <v>182</v>
      </c>
      <c r="E123" s="7" t="s">
        <v>477</v>
      </c>
      <c r="F123" s="7" t="s">
        <v>47</v>
      </c>
      <c r="G123" s="7" t="n">
        <v>33</v>
      </c>
      <c r="H123" s="8" t="s">
        <v>348</v>
      </c>
      <c r="I123" s="8" t="s">
        <v>164</v>
      </c>
      <c r="J123" s="8" t="s">
        <v>79</v>
      </c>
      <c r="K123" s="8" t="s">
        <v>104</v>
      </c>
      <c r="L123" s="8" t="s">
        <v>536</v>
      </c>
      <c r="M123" s="7" t="n">
        <v>9</v>
      </c>
      <c r="N123" s="9" t="n">
        <v>71.4</v>
      </c>
      <c r="O123" s="10" t="n">
        <v>0</v>
      </c>
      <c r="P123" s="9" t="n">
        <v>642.58</v>
      </c>
      <c r="Q123" s="9" t="n">
        <v>266.26</v>
      </c>
      <c r="R123" s="8" t="s">
        <v>31</v>
      </c>
      <c r="S123" s="8" t="s">
        <v>32</v>
      </c>
    </row>
    <row r="124" customFormat="false" ht="15" hidden="false" customHeight="true" outlineLevel="0" collapsed="false">
      <c r="A124" s="11" t="s">
        <v>537</v>
      </c>
      <c r="B124" s="12" t="s">
        <v>419</v>
      </c>
      <c r="C124" s="12" t="s">
        <v>279</v>
      </c>
      <c r="D124" s="12" t="s">
        <v>538</v>
      </c>
      <c r="E124" s="11" t="s">
        <v>118</v>
      </c>
      <c r="F124" s="11" t="s">
        <v>25</v>
      </c>
      <c r="G124" s="11" t="n">
        <v>49</v>
      </c>
      <c r="H124" s="12" t="s">
        <v>184</v>
      </c>
      <c r="I124" s="12" t="s">
        <v>185</v>
      </c>
      <c r="J124" s="12" t="s">
        <v>88</v>
      </c>
      <c r="K124" s="12" t="s">
        <v>29</v>
      </c>
      <c r="L124" s="12" t="s">
        <v>194</v>
      </c>
      <c r="M124" s="11" t="n">
        <v>3</v>
      </c>
      <c r="N124" s="13" t="n">
        <v>23.51</v>
      </c>
      <c r="O124" s="14" t="n">
        <v>0.1</v>
      </c>
      <c r="P124" s="13" t="n">
        <v>63.47</v>
      </c>
      <c r="Q124" s="13" t="n">
        <v>26.25</v>
      </c>
      <c r="R124" s="12" t="s">
        <v>53</v>
      </c>
      <c r="S124" s="12" t="s">
        <v>80</v>
      </c>
    </row>
    <row r="125" customFormat="false" ht="15" hidden="false" customHeight="true" outlineLevel="0" collapsed="false">
      <c r="A125" s="7" t="s">
        <v>539</v>
      </c>
      <c r="B125" s="8" t="s">
        <v>279</v>
      </c>
      <c r="C125" s="8" t="s">
        <v>540</v>
      </c>
      <c r="D125" s="8" t="s">
        <v>364</v>
      </c>
      <c r="E125" s="7" t="s">
        <v>272</v>
      </c>
      <c r="F125" s="7" t="s">
        <v>25</v>
      </c>
      <c r="G125" s="7" t="n">
        <v>21</v>
      </c>
      <c r="H125" s="8" t="s">
        <v>149</v>
      </c>
      <c r="I125" s="8" t="s">
        <v>150</v>
      </c>
      <c r="J125" s="8" t="s">
        <v>50</v>
      </c>
      <c r="K125" s="8" t="s">
        <v>51</v>
      </c>
      <c r="L125" s="8" t="s">
        <v>52</v>
      </c>
      <c r="M125" s="7" t="n">
        <v>9</v>
      </c>
      <c r="N125" s="9" t="n">
        <v>826.31</v>
      </c>
      <c r="O125" s="10" t="n">
        <v>0</v>
      </c>
      <c r="P125" s="9" t="n">
        <v>7436.82</v>
      </c>
      <c r="Q125" s="9" t="n">
        <v>1449.68</v>
      </c>
      <c r="R125" s="8" t="s">
        <v>53</v>
      </c>
      <c r="S125" s="8" t="s">
        <v>128</v>
      </c>
    </row>
    <row r="126" customFormat="false" ht="15" hidden="false" customHeight="true" outlineLevel="0" collapsed="false">
      <c r="A126" s="11" t="s">
        <v>541</v>
      </c>
      <c r="B126" s="12" t="s">
        <v>344</v>
      </c>
      <c r="C126" s="12" t="s">
        <v>397</v>
      </c>
      <c r="D126" s="12" t="s">
        <v>84</v>
      </c>
      <c r="E126" s="11" t="s">
        <v>542</v>
      </c>
      <c r="F126" s="11" t="s">
        <v>47</v>
      </c>
      <c r="G126" s="11" t="n">
        <v>43</v>
      </c>
      <c r="H126" s="12" t="s">
        <v>77</v>
      </c>
      <c r="I126" s="12" t="s">
        <v>78</v>
      </c>
      <c r="J126" s="12" t="s">
        <v>79</v>
      </c>
      <c r="K126" s="12" t="s">
        <v>134</v>
      </c>
      <c r="L126" s="12" t="s">
        <v>267</v>
      </c>
      <c r="M126" s="11" t="n">
        <v>1</v>
      </c>
      <c r="N126" s="13" t="n">
        <v>26.16</v>
      </c>
      <c r="O126" s="14" t="n">
        <v>0.05</v>
      </c>
      <c r="P126" s="13" t="n">
        <v>24.85</v>
      </c>
      <c r="Q126" s="13" t="n">
        <v>11.67</v>
      </c>
      <c r="R126" s="12" t="s">
        <v>31</v>
      </c>
      <c r="S126" s="12" t="s">
        <v>90</v>
      </c>
    </row>
    <row r="127" customFormat="false" ht="15" hidden="false" customHeight="true" outlineLevel="0" collapsed="false">
      <c r="A127" s="7" t="s">
        <v>543</v>
      </c>
      <c r="B127" s="8" t="s">
        <v>544</v>
      </c>
      <c r="C127" s="8" t="s">
        <v>350</v>
      </c>
      <c r="D127" s="8" t="s">
        <v>174</v>
      </c>
      <c r="E127" s="7" t="s">
        <v>545</v>
      </c>
      <c r="F127" s="7" t="s">
        <v>47</v>
      </c>
      <c r="G127" s="7" t="n">
        <v>57</v>
      </c>
      <c r="H127" s="8" t="s">
        <v>69</v>
      </c>
      <c r="I127" s="8" t="s">
        <v>70</v>
      </c>
      <c r="J127" s="8" t="s">
        <v>50</v>
      </c>
      <c r="K127" s="8" t="s">
        <v>29</v>
      </c>
      <c r="L127" s="8" t="s">
        <v>240</v>
      </c>
      <c r="M127" s="7" t="n">
        <v>9</v>
      </c>
      <c r="N127" s="9" t="n">
        <v>67.58</v>
      </c>
      <c r="O127" s="10" t="n">
        <v>0.05</v>
      </c>
      <c r="P127" s="9" t="n">
        <v>577.82</v>
      </c>
      <c r="Q127" s="9" t="n">
        <v>219.95</v>
      </c>
      <c r="R127" s="8" t="s">
        <v>31</v>
      </c>
      <c r="S127" s="8" t="s">
        <v>54</v>
      </c>
    </row>
    <row r="128" customFormat="false" ht="15" hidden="false" customHeight="true" outlineLevel="0" collapsed="false">
      <c r="A128" s="11" t="s">
        <v>546</v>
      </c>
      <c r="B128" s="12" t="s">
        <v>276</v>
      </c>
      <c r="C128" s="12" t="s">
        <v>530</v>
      </c>
      <c r="D128" s="12" t="s">
        <v>290</v>
      </c>
      <c r="E128" s="11" t="s">
        <v>318</v>
      </c>
      <c r="F128" s="11" t="s">
        <v>25</v>
      </c>
      <c r="G128" s="11" t="n">
        <v>20</v>
      </c>
      <c r="H128" s="12" t="s">
        <v>77</v>
      </c>
      <c r="I128" s="12" t="s">
        <v>78</v>
      </c>
      <c r="J128" s="12" t="s">
        <v>79</v>
      </c>
      <c r="K128" s="12" t="s">
        <v>61</v>
      </c>
      <c r="L128" s="12" t="s">
        <v>404</v>
      </c>
      <c r="M128" s="11" t="n">
        <v>6</v>
      </c>
      <c r="N128" s="13" t="n">
        <v>138.24</v>
      </c>
      <c r="O128" s="14" t="n">
        <v>0</v>
      </c>
      <c r="P128" s="13" t="n">
        <v>829.43</v>
      </c>
      <c r="Q128" s="13" t="n">
        <v>276.3</v>
      </c>
      <c r="R128" s="12" t="s">
        <v>106</v>
      </c>
      <c r="S128" s="12" t="s">
        <v>96</v>
      </c>
    </row>
    <row r="129" customFormat="false" ht="15" hidden="false" customHeight="true" outlineLevel="0" collapsed="false">
      <c r="A129" s="7" t="s">
        <v>547</v>
      </c>
      <c r="B129" s="8" t="s">
        <v>548</v>
      </c>
      <c r="C129" s="8" t="s">
        <v>549</v>
      </c>
      <c r="D129" s="8" t="s">
        <v>336</v>
      </c>
      <c r="E129" s="7" t="s">
        <v>347</v>
      </c>
      <c r="F129" s="7" t="s">
        <v>47</v>
      </c>
      <c r="G129" s="7" t="n">
        <v>55</v>
      </c>
      <c r="H129" s="8" t="s">
        <v>369</v>
      </c>
      <c r="I129" s="8" t="s">
        <v>164</v>
      </c>
      <c r="J129" s="8" t="s">
        <v>79</v>
      </c>
      <c r="K129" s="8" t="s">
        <v>134</v>
      </c>
      <c r="L129" s="8" t="s">
        <v>191</v>
      </c>
      <c r="M129" s="7" t="n">
        <v>9</v>
      </c>
      <c r="N129" s="9" t="n">
        <v>40.77</v>
      </c>
      <c r="O129" s="10" t="n">
        <v>0.1</v>
      </c>
      <c r="P129" s="9" t="n">
        <v>330.21</v>
      </c>
      <c r="Q129" s="9" t="n">
        <v>168.43</v>
      </c>
      <c r="R129" s="8" t="s">
        <v>40</v>
      </c>
      <c r="S129" s="8" t="s">
        <v>120</v>
      </c>
    </row>
    <row r="130" customFormat="false" ht="15" hidden="false" customHeight="true" outlineLevel="0" collapsed="false">
      <c r="A130" s="11" t="s">
        <v>550</v>
      </c>
      <c r="B130" s="12" t="s">
        <v>551</v>
      </c>
      <c r="C130" s="12" t="s">
        <v>552</v>
      </c>
      <c r="D130" s="12" t="s">
        <v>189</v>
      </c>
      <c r="E130" s="11" t="s">
        <v>381</v>
      </c>
      <c r="F130" s="11" t="s">
        <v>47</v>
      </c>
      <c r="G130" s="11" t="n">
        <v>64</v>
      </c>
      <c r="H130" s="12" t="s">
        <v>163</v>
      </c>
      <c r="I130" s="12" t="s">
        <v>164</v>
      </c>
      <c r="J130" s="12" t="s">
        <v>79</v>
      </c>
      <c r="K130" s="12" t="s">
        <v>112</v>
      </c>
      <c r="L130" s="12" t="s">
        <v>280</v>
      </c>
      <c r="M130" s="11" t="n">
        <v>1</v>
      </c>
      <c r="N130" s="13" t="n">
        <v>17.95</v>
      </c>
      <c r="O130" s="14" t="n">
        <v>0.15</v>
      </c>
      <c r="P130" s="13" t="n">
        <v>15.26</v>
      </c>
      <c r="Q130" s="13" t="n">
        <v>7.73</v>
      </c>
      <c r="R130" s="12" t="s">
        <v>40</v>
      </c>
      <c r="S130" s="12" t="s">
        <v>80</v>
      </c>
    </row>
    <row r="131" customFormat="false" ht="15" hidden="false" customHeight="true" outlineLevel="0" collapsed="false">
      <c r="A131" s="7" t="s">
        <v>553</v>
      </c>
      <c r="B131" s="8" t="s">
        <v>315</v>
      </c>
      <c r="C131" s="8" t="s">
        <v>419</v>
      </c>
      <c r="D131" s="8" t="s">
        <v>100</v>
      </c>
      <c r="E131" s="7" t="s">
        <v>206</v>
      </c>
      <c r="F131" s="7" t="s">
        <v>47</v>
      </c>
      <c r="G131" s="7" t="n">
        <v>27</v>
      </c>
      <c r="H131" s="8" t="s">
        <v>38</v>
      </c>
      <c r="I131" s="8" t="s">
        <v>27</v>
      </c>
      <c r="J131" s="8" t="s">
        <v>28</v>
      </c>
      <c r="K131" s="8" t="s">
        <v>29</v>
      </c>
      <c r="L131" s="8" t="s">
        <v>240</v>
      </c>
      <c r="M131" s="7" t="n">
        <v>10</v>
      </c>
      <c r="N131" s="9" t="n">
        <v>72.95</v>
      </c>
      <c r="O131" s="10" t="n">
        <v>0.1</v>
      </c>
      <c r="P131" s="9" t="n">
        <v>656.57</v>
      </c>
      <c r="Q131" s="9" t="n">
        <v>262.37</v>
      </c>
      <c r="R131" s="8" t="s">
        <v>31</v>
      </c>
      <c r="S131" s="8" t="s">
        <v>128</v>
      </c>
    </row>
    <row r="132" customFormat="false" ht="15" hidden="false" customHeight="true" outlineLevel="0" collapsed="false">
      <c r="A132" s="11" t="s">
        <v>554</v>
      </c>
      <c r="B132" s="12" t="s">
        <v>555</v>
      </c>
      <c r="C132" s="12" t="s">
        <v>220</v>
      </c>
      <c r="D132" s="12" t="s">
        <v>556</v>
      </c>
      <c r="E132" s="11" t="s">
        <v>557</v>
      </c>
      <c r="F132" s="11" t="s">
        <v>47</v>
      </c>
      <c r="G132" s="11" t="n">
        <v>65</v>
      </c>
      <c r="H132" s="12" t="s">
        <v>176</v>
      </c>
      <c r="I132" s="12" t="s">
        <v>177</v>
      </c>
      <c r="J132" s="12" t="s">
        <v>50</v>
      </c>
      <c r="K132" s="12" t="s">
        <v>104</v>
      </c>
      <c r="L132" s="12" t="s">
        <v>558</v>
      </c>
      <c r="M132" s="11" t="n">
        <v>6</v>
      </c>
      <c r="N132" s="13" t="n">
        <v>40.7</v>
      </c>
      <c r="O132" s="14" t="n">
        <v>0.05</v>
      </c>
      <c r="P132" s="13" t="n">
        <v>231.99</v>
      </c>
      <c r="Q132" s="13" t="n">
        <v>104.86</v>
      </c>
      <c r="R132" s="12" t="s">
        <v>144</v>
      </c>
      <c r="S132" s="12" t="s">
        <v>54</v>
      </c>
    </row>
    <row r="133" customFormat="false" ht="15" hidden="false" customHeight="true" outlineLevel="0" collapsed="false">
      <c r="A133" s="7" t="s">
        <v>559</v>
      </c>
      <c r="B133" s="8" t="s">
        <v>131</v>
      </c>
      <c r="C133" s="8" t="s">
        <v>153</v>
      </c>
      <c r="D133" s="8" t="s">
        <v>132</v>
      </c>
      <c r="E133" s="7" t="s">
        <v>560</v>
      </c>
      <c r="F133" s="7" t="s">
        <v>47</v>
      </c>
      <c r="G133" s="7" t="n">
        <v>52</v>
      </c>
      <c r="H133" s="8" t="s">
        <v>163</v>
      </c>
      <c r="I133" s="8" t="s">
        <v>164</v>
      </c>
      <c r="J133" s="8" t="s">
        <v>79</v>
      </c>
      <c r="K133" s="8" t="s">
        <v>29</v>
      </c>
      <c r="L133" s="8" t="s">
        <v>244</v>
      </c>
      <c r="M133" s="7" t="n">
        <v>9</v>
      </c>
      <c r="N133" s="9" t="n">
        <v>55.04</v>
      </c>
      <c r="O133" s="10" t="n">
        <v>0</v>
      </c>
      <c r="P133" s="9" t="n">
        <v>495.36</v>
      </c>
      <c r="Q133" s="9" t="n">
        <v>185.2</v>
      </c>
      <c r="R133" s="8" t="s">
        <v>144</v>
      </c>
      <c r="S133" s="8" t="s">
        <v>63</v>
      </c>
    </row>
    <row r="134" customFormat="false" ht="15" hidden="false" customHeight="true" outlineLevel="0" collapsed="false">
      <c r="A134" s="11" t="s">
        <v>561</v>
      </c>
      <c r="B134" s="12" t="s">
        <v>562</v>
      </c>
      <c r="C134" s="12" t="s">
        <v>563</v>
      </c>
      <c r="D134" s="12" t="s">
        <v>45</v>
      </c>
      <c r="E134" s="11" t="s">
        <v>299</v>
      </c>
      <c r="F134" s="11" t="s">
        <v>47</v>
      </c>
      <c r="G134" s="11" t="n">
        <v>38</v>
      </c>
      <c r="H134" s="12" t="s">
        <v>86</v>
      </c>
      <c r="I134" s="12" t="s">
        <v>87</v>
      </c>
      <c r="J134" s="12" t="s">
        <v>88</v>
      </c>
      <c r="K134" s="12" t="s">
        <v>104</v>
      </c>
      <c r="L134" s="12" t="s">
        <v>105</v>
      </c>
      <c r="M134" s="11" t="n">
        <v>9</v>
      </c>
      <c r="N134" s="13" t="n">
        <v>87.25</v>
      </c>
      <c r="O134" s="14" t="n">
        <v>0</v>
      </c>
      <c r="P134" s="13" t="n">
        <v>785.21</v>
      </c>
      <c r="Q134" s="13" t="n">
        <v>365.56</v>
      </c>
      <c r="R134" s="12" t="s">
        <v>72</v>
      </c>
      <c r="S134" s="12" t="s">
        <v>120</v>
      </c>
    </row>
    <row r="135" customFormat="false" ht="15" hidden="false" customHeight="true" outlineLevel="0" collapsed="false">
      <c r="A135" s="7" t="s">
        <v>564</v>
      </c>
      <c r="B135" s="8" t="s">
        <v>432</v>
      </c>
      <c r="C135" s="8" t="s">
        <v>295</v>
      </c>
      <c r="D135" s="8" t="s">
        <v>501</v>
      </c>
      <c r="E135" s="7" t="s">
        <v>265</v>
      </c>
      <c r="F135" s="7" t="s">
        <v>47</v>
      </c>
      <c r="G135" s="7" t="n">
        <v>63</v>
      </c>
      <c r="H135" s="8" t="s">
        <v>149</v>
      </c>
      <c r="I135" s="8" t="s">
        <v>150</v>
      </c>
      <c r="J135" s="8" t="s">
        <v>50</v>
      </c>
      <c r="K135" s="8" t="s">
        <v>51</v>
      </c>
      <c r="L135" s="8" t="s">
        <v>89</v>
      </c>
      <c r="M135" s="7" t="n">
        <v>6</v>
      </c>
      <c r="N135" s="9" t="n">
        <v>492.74</v>
      </c>
      <c r="O135" s="10" t="n">
        <v>0.2</v>
      </c>
      <c r="P135" s="9" t="n">
        <v>2365.14</v>
      </c>
      <c r="Q135" s="9" t="n">
        <v>446.75</v>
      </c>
      <c r="R135" s="8" t="s">
        <v>72</v>
      </c>
      <c r="S135" s="8" t="s">
        <v>80</v>
      </c>
    </row>
    <row r="136" customFormat="false" ht="15" hidden="false" customHeight="true" outlineLevel="0" collapsed="false">
      <c r="A136" s="11" t="s">
        <v>565</v>
      </c>
      <c r="B136" s="12" t="s">
        <v>356</v>
      </c>
      <c r="C136" s="12" t="s">
        <v>566</v>
      </c>
      <c r="D136" s="12" t="s">
        <v>182</v>
      </c>
      <c r="E136" s="11" t="s">
        <v>545</v>
      </c>
      <c r="F136" s="11" t="s">
        <v>25</v>
      </c>
      <c r="G136" s="11" t="n">
        <v>24</v>
      </c>
      <c r="H136" s="12" t="s">
        <v>190</v>
      </c>
      <c r="I136" s="12" t="s">
        <v>142</v>
      </c>
      <c r="J136" s="12" t="s">
        <v>88</v>
      </c>
      <c r="K136" s="12" t="s">
        <v>112</v>
      </c>
      <c r="L136" s="12" t="s">
        <v>462</v>
      </c>
      <c r="M136" s="11" t="n">
        <v>4</v>
      </c>
      <c r="N136" s="13" t="n">
        <v>41.34</v>
      </c>
      <c r="O136" s="14" t="n">
        <v>0</v>
      </c>
      <c r="P136" s="13" t="n">
        <v>165.37</v>
      </c>
      <c r="Q136" s="13" t="n">
        <v>116.41</v>
      </c>
      <c r="R136" s="12" t="s">
        <v>144</v>
      </c>
      <c r="S136" s="12" t="s">
        <v>128</v>
      </c>
    </row>
    <row r="137" customFormat="false" ht="15" hidden="false" customHeight="true" outlineLevel="0" collapsed="false">
      <c r="A137" s="7" t="s">
        <v>567</v>
      </c>
      <c r="B137" s="8" t="s">
        <v>458</v>
      </c>
      <c r="C137" s="8" t="s">
        <v>82</v>
      </c>
      <c r="D137" s="8" t="s">
        <v>57</v>
      </c>
      <c r="E137" s="7" t="s">
        <v>68</v>
      </c>
      <c r="F137" s="7" t="s">
        <v>25</v>
      </c>
      <c r="G137" s="7" t="n">
        <v>18</v>
      </c>
      <c r="H137" s="8" t="s">
        <v>184</v>
      </c>
      <c r="I137" s="8" t="s">
        <v>185</v>
      </c>
      <c r="J137" s="8" t="s">
        <v>88</v>
      </c>
      <c r="K137" s="8" t="s">
        <v>51</v>
      </c>
      <c r="L137" s="8" t="s">
        <v>71</v>
      </c>
      <c r="M137" s="7" t="n">
        <v>1</v>
      </c>
      <c r="N137" s="9" t="n">
        <v>133.51</v>
      </c>
      <c r="O137" s="10" t="n">
        <v>0</v>
      </c>
      <c r="P137" s="9" t="n">
        <v>133.51</v>
      </c>
      <c r="Q137" s="9" t="n">
        <v>31.93</v>
      </c>
      <c r="R137" s="8" t="s">
        <v>106</v>
      </c>
      <c r="S137" s="8" t="s">
        <v>90</v>
      </c>
    </row>
    <row r="138" customFormat="false" ht="15" hidden="false" customHeight="true" outlineLevel="0" collapsed="false">
      <c r="A138" s="11" t="s">
        <v>568</v>
      </c>
      <c r="B138" s="12" t="s">
        <v>344</v>
      </c>
      <c r="C138" s="12" t="s">
        <v>569</v>
      </c>
      <c r="D138" s="12" t="s">
        <v>154</v>
      </c>
      <c r="E138" s="11" t="s">
        <v>318</v>
      </c>
      <c r="F138" s="11" t="s">
        <v>25</v>
      </c>
      <c r="G138" s="11" t="n">
        <v>52</v>
      </c>
      <c r="H138" s="12" t="s">
        <v>141</v>
      </c>
      <c r="I138" s="12" t="s">
        <v>142</v>
      </c>
      <c r="J138" s="12" t="s">
        <v>88</v>
      </c>
      <c r="K138" s="12" t="s">
        <v>134</v>
      </c>
      <c r="L138" s="12" t="s">
        <v>135</v>
      </c>
      <c r="M138" s="11" t="n">
        <v>6</v>
      </c>
      <c r="N138" s="13" t="n">
        <v>9.64</v>
      </c>
      <c r="O138" s="14" t="n">
        <v>0</v>
      </c>
      <c r="P138" s="13" t="n">
        <v>57.85</v>
      </c>
      <c r="Q138" s="13" t="n">
        <v>37.01</v>
      </c>
      <c r="R138" s="12" t="s">
        <v>106</v>
      </c>
      <c r="S138" s="12" t="s">
        <v>90</v>
      </c>
    </row>
    <row r="139" customFormat="false" ht="15" hidden="false" customHeight="true" outlineLevel="0" collapsed="false">
      <c r="A139" s="7" t="s">
        <v>570</v>
      </c>
      <c r="B139" s="8" t="s">
        <v>215</v>
      </c>
      <c r="C139" s="8" t="s">
        <v>571</v>
      </c>
      <c r="D139" s="8" t="s">
        <v>426</v>
      </c>
      <c r="E139" s="7" t="s">
        <v>272</v>
      </c>
      <c r="F139" s="7" t="s">
        <v>25</v>
      </c>
      <c r="G139" s="7" t="n">
        <v>39</v>
      </c>
      <c r="H139" s="8" t="s">
        <v>125</v>
      </c>
      <c r="I139" s="8" t="s">
        <v>126</v>
      </c>
      <c r="J139" s="8" t="s">
        <v>88</v>
      </c>
      <c r="K139" s="8" t="s">
        <v>134</v>
      </c>
      <c r="L139" s="8" t="s">
        <v>407</v>
      </c>
      <c r="M139" s="7" t="n">
        <v>5</v>
      </c>
      <c r="N139" s="9" t="n">
        <v>66.04</v>
      </c>
      <c r="O139" s="10" t="n">
        <v>0</v>
      </c>
      <c r="P139" s="9" t="n">
        <v>330.19</v>
      </c>
      <c r="Q139" s="9" t="n">
        <v>166.96</v>
      </c>
      <c r="R139" s="8" t="s">
        <v>53</v>
      </c>
      <c r="S139" s="8" t="s">
        <v>120</v>
      </c>
    </row>
    <row r="140" customFormat="false" ht="15" hidden="false" customHeight="true" outlineLevel="0" collapsed="false">
      <c r="A140" s="11" t="s">
        <v>572</v>
      </c>
      <c r="B140" s="12" t="s">
        <v>437</v>
      </c>
      <c r="C140" s="12" t="s">
        <v>573</v>
      </c>
      <c r="D140" s="12" t="s">
        <v>202</v>
      </c>
      <c r="E140" s="11" t="s">
        <v>487</v>
      </c>
      <c r="F140" s="11" t="s">
        <v>47</v>
      </c>
      <c r="G140" s="11" t="n">
        <v>63</v>
      </c>
      <c r="H140" s="12" t="s">
        <v>86</v>
      </c>
      <c r="I140" s="12" t="s">
        <v>87</v>
      </c>
      <c r="J140" s="12" t="s">
        <v>88</v>
      </c>
      <c r="K140" s="12" t="s">
        <v>104</v>
      </c>
      <c r="L140" s="12" t="s">
        <v>574</v>
      </c>
      <c r="M140" s="11" t="n">
        <v>4</v>
      </c>
      <c r="N140" s="13" t="n">
        <v>140.82</v>
      </c>
      <c r="O140" s="14" t="n">
        <v>0</v>
      </c>
      <c r="P140" s="13" t="n">
        <v>563.29</v>
      </c>
      <c r="Q140" s="13" t="n">
        <v>204.64</v>
      </c>
      <c r="R140" s="12" t="s">
        <v>31</v>
      </c>
      <c r="S140" s="12" t="s">
        <v>96</v>
      </c>
    </row>
    <row r="141" customFormat="false" ht="15" hidden="false" customHeight="true" outlineLevel="0" collapsed="false">
      <c r="A141" s="7" t="s">
        <v>575</v>
      </c>
      <c r="B141" s="8" t="s">
        <v>576</v>
      </c>
      <c r="C141" s="8" t="s">
        <v>577</v>
      </c>
      <c r="D141" s="8" t="s">
        <v>490</v>
      </c>
      <c r="E141" s="7" t="s">
        <v>417</v>
      </c>
      <c r="F141" s="7" t="s">
        <v>47</v>
      </c>
      <c r="G141" s="7" t="n">
        <v>23</v>
      </c>
      <c r="H141" s="8" t="s">
        <v>125</v>
      </c>
      <c r="I141" s="8" t="s">
        <v>126</v>
      </c>
      <c r="J141" s="8" t="s">
        <v>88</v>
      </c>
      <c r="K141" s="8" t="s">
        <v>112</v>
      </c>
      <c r="L141" s="8" t="s">
        <v>330</v>
      </c>
      <c r="M141" s="7" t="n">
        <v>10</v>
      </c>
      <c r="N141" s="9" t="n">
        <v>9.54</v>
      </c>
      <c r="O141" s="10" t="n">
        <v>0.05</v>
      </c>
      <c r="P141" s="9" t="n">
        <v>90.63</v>
      </c>
      <c r="Q141" s="9" t="n">
        <v>61.49</v>
      </c>
      <c r="R141" s="8" t="s">
        <v>144</v>
      </c>
      <c r="S141" s="8" t="s">
        <v>73</v>
      </c>
    </row>
    <row r="142" customFormat="false" ht="15" hidden="false" customHeight="true" outlineLevel="0" collapsed="false">
      <c r="A142" s="11" t="s">
        <v>578</v>
      </c>
      <c r="B142" s="12" t="s">
        <v>579</v>
      </c>
      <c r="C142" s="12" t="s">
        <v>270</v>
      </c>
      <c r="D142" s="12" t="s">
        <v>182</v>
      </c>
      <c r="E142" s="11" t="s">
        <v>580</v>
      </c>
      <c r="F142" s="11" t="s">
        <v>47</v>
      </c>
      <c r="G142" s="11" t="n">
        <v>37</v>
      </c>
      <c r="H142" s="12" t="s">
        <v>184</v>
      </c>
      <c r="I142" s="12" t="s">
        <v>185</v>
      </c>
      <c r="J142" s="12" t="s">
        <v>88</v>
      </c>
      <c r="K142" s="12" t="s">
        <v>134</v>
      </c>
      <c r="L142" s="12" t="s">
        <v>178</v>
      </c>
      <c r="M142" s="11" t="n">
        <v>1</v>
      </c>
      <c r="N142" s="13" t="n">
        <v>19.09</v>
      </c>
      <c r="O142" s="14" t="n">
        <v>0</v>
      </c>
      <c r="P142" s="13" t="n">
        <v>19.09</v>
      </c>
      <c r="Q142" s="13" t="n">
        <v>10.28</v>
      </c>
      <c r="R142" s="12" t="s">
        <v>144</v>
      </c>
      <c r="S142" s="12" t="s">
        <v>128</v>
      </c>
    </row>
    <row r="143" customFormat="false" ht="15" hidden="false" customHeight="true" outlineLevel="0" collapsed="false">
      <c r="A143" s="7" t="s">
        <v>581</v>
      </c>
      <c r="B143" s="8" t="s">
        <v>582</v>
      </c>
      <c r="C143" s="8" t="s">
        <v>108</v>
      </c>
      <c r="D143" s="8" t="s">
        <v>290</v>
      </c>
      <c r="E143" s="7" t="s">
        <v>37</v>
      </c>
      <c r="F143" s="7" t="s">
        <v>47</v>
      </c>
      <c r="G143" s="7" t="n">
        <v>62</v>
      </c>
      <c r="H143" s="8" t="s">
        <v>184</v>
      </c>
      <c r="I143" s="8" t="s">
        <v>185</v>
      </c>
      <c r="J143" s="8" t="s">
        <v>88</v>
      </c>
      <c r="K143" s="8" t="s">
        <v>112</v>
      </c>
      <c r="L143" s="8" t="s">
        <v>113</v>
      </c>
      <c r="M143" s="7" t="n">
        <v>1</v>
      </c>
      <c r="N143" s="9" t="n">
        <v>27.93</v>
      </c>
      <c r="O143" s="10" t="n">
        <v>0.05</v>
      </c>
      <c r="P143" s="9" t="n">
        <v>26.53</v>
      </c>
      <c r="Q143" s="9" t="n">
        <v>14.69</v>
      </c>
      <c r="R143" s="8" t="s">
        <v>144</v>
      </c>
      <c r="S143" s="8" t="s">
        <v>63</v>
      </c>
    </row>
    <row r="144" customFormat="false" ht="15" hidden="false" customHeight="true" outlineLevel="0" collapsed="false">
      <c r="A144" s="11" t="s">
        <v>583</v>
      </c>
      <c r="B144" s="12" t="s">
        <v>242</v>
      </c>
      <c r="C144" s="12" t="s">
        <v>584</v>
      </c>
      <c r="D144" s="12" t="s">
        <v>433</v>
      </c>
      <c r="E144" s="11" t="s">
        <v>68</v>
      </c>
      <c r="F144" s="11" t="s">
        <v>47</v>
      </c>
      <c r="G144" s="11" t="n">
        <v>62</v>
      </c>
      <c r="H144" s="12" t="s">
        <v>26</v>
      </c>
      <c r="I144" s="12" t="s">
        <v>27</v>
      </c>
      <c r="J144" s="12" t="s">
        <v>28</v>
      </c>
      <c r="K144" s="12" t="s">
        <v>104</v>
      </c>
      <c r="L144" s="12" t="s">
        <v>105</v>
      </c>
      <c r="M144" s="11" t="n">
        <v>8</v>
      </c>
      <c r="N144" s="13" t="n">
        <v>82.01</v>
      </c>
      <c r="O144" s="14" t="n">
        <v>0.15</v>
      </c>
      <c r="P144" s="13" t="n">
        <v>557.7</v>
      </c>
      <c r="Q144" s="13" t="n">
        <v>280.03</v>
      </c>
      <c r="R144" s="12" t="s">
        <v>53</v>
      </c>
      <c r="S144" s="12" t="s">
        <v>120</v>
      </c>
    </row>
    <row r="145" customFormat="false" ht="15" hidden="false" customHeight="true" outlineLevel="0" collapsed="false">
      <c r="A145" s="7" t="s">
        <v>585</v>
      </c>
      <c r="B145" s="8" t="s">
        <v>586</v>
      </c>
      <c r="C145" s="8" t="s">
        <v>146</v>
      </c>
      <c r="D145" s="8" t="s">
        <v>325</v>
      </c>
      <c r="E145" s="7" t="s">
        <v>68</v>
      </c>
      <c r="F145" s="7" t="s">
        <v>25</v>
      </c>
      <c r="G145" s="7" t="n">
        <v>21</v>
      </c>
      <c r="H145" s="8" t="s">
        <v>348</v>
      </c>
      <c r="I145" s="8" t="s">
        <v>164</v>
      </c>
      <c r="J145" s="8" t="s">
        <v>79</v>
      </c>
      <c r="K145" s="8" t="s">
        <v>104</v>
      </c>
      <c r="L145" s="8" t="s">
        <v>229</v>
      </c>
      <c r="M145" s="7" t="n">
        <v>8</v>
      </c>
      <c r="N145" s="9" t="n">
        <v>63.68</v>
      </c>
      <c r="O145" s="10" t="n">
        <v>0</v>
      </c>
      <c r="P145" s="9" t="n">
        <v>509.41</v>
      </c>
      <c r="Q145" s="9" t="n">
        <v>177.85</v>
      </c>
      <c r="R145" s="8" t="s">
        <v>40</v>
      </c>
      <c r="S145" s="8" t="s">
        <v>41</v>
      </c>
    </row>
    <row r="146" customFormat="false" ht="15" hidden="false" customHeight="true" outlineLevel="0" collapsed="false">
      <c r="A146" s="11" t="s">
        <v>587</v>
      </c>
      <c r="B146" s="12" t="s">
        <v>588</v>
      </c>
      <c r="C146" s="12" t="s">
        <v>589</v>
      </c>
      <c r="D146" s="12" t="s">
        <v>590</v>
      </c>
      <c r="E146" s="11" t="s">
        <v>118</v>
      </c>
      <c r="F146" s="11" t="s">
        <v>47</v>
      </c>
      <c r="G146" s="11" t="n">
        <v>23</v>
      </c>
      <c r="H146" s="12" t="s">
        <v>59</v>
      </c>
      <c r="I146" s="12" t="s">
        <v>60</v>
      </c>
      <c r="J146" s="12" t="s">
        <v>50</v>
      </c>
      <c r="K146" s="12" t="s">
        <v>104</v>
      </c>
      <c r="L146" s="12" t="s">
        <v>213</v>
      </c>
      <c r="M146" s="11" t="n">
        <v>9</v>
      </c>
      <c r="N146" s="13" t="n">
        <v>25.67</v>
      </c>
      <c r="O146" s="14" t="n">
        <v>0.15</v>
      </c>
      <c r="P146" s="13" t="n">
        <v>196.36</v>
      </c>
      <c r="Q146" s="13" t="n">
        <v>72.75</v>
      </c>
      <c r="R146" s="12" t="s">
        <v>53</v>
      </c>
      <c r="S146" s="12" t="s">
        <v>32</v>
      </c>
    </row>
    <row r="147" customFormat="false" ht="15" hidden="false" customHeight="true" outlineLevel="0" collapsed="false">
      <c r="A147" s="7" t="s">
        <v>591</v>
      </c>
      <c r="B147" s="8" t="s">
        <v>367</v>
      </c>
      <c r="C147" s="8" t="s">
        <v>428</v>
      </c>
      <c r="D147" s="8" t="s">
        <v>243</v>
      </c>
      <c r="E147" s="7" t="s">
        <v>392</v>
      </c>
      <c r="F147" s="7" t="s">
        <v>25</v>
      </c>
      <c r="G147" s="7" t="n">
        <v>43</v>
      </c>
      <c r="H147" s="8" t="s">
        <v>176</v>
      </c>
      <c r="I147" s="8" t="s">
        <v>177</v>
      </c>
      <c r="J147" s="8" t="s">
        <v>50</v>
      </c>
      <c r="K147" s="8" t="s">
        <v>29</v>
      </c>
      <c r="L147" s="8" t="s">
        <v>194</v>
      </c>
      <c r="M147" s="7" t="n">
        <v>10</v>
      </c>
      <c r="N147" s="9" t="n">
        <v>17.46</v>
      </c>
      <c r="O147" s="10" t="n">
        <v>0.05</v>
      </c>
      <c r="P147" s="9" t="n">
        <v>165.89</v>
      </c>
      <c r="Q147" s="9" t="n">
        <v>67.39</v>
      </c>
      <c r="R147" s="8" t="s">
        <v>31</v>
      </c>
      <c r="S147" s="8" t="s">
        <v>41</v>
      </c>
    </row>
    <row r="148" customFormat="false" ht="15" hidden="false" customHeight="true" outlineLevel="0" collapsed="false">
      <c r="A148" s="11" t="s">
        <v>592</v>
      </c>
      <c r="B148" s="12" t="s">
        <v>43</v>
      </c>
      <c r="C148" s="12" t="s">
        <v>593</v>
      </c>
      <c r="D148" s="12" t="s">
        <v>36</v>
      </c>
      <c r="E148" s="11" t="s">
        <v>272</v>
      </c>
      <c r="F148" s="11" t="s">
        <v>47</v>
      </c>
      <c r="G148" s="11" t="n">
        <v>20</v>
      </c>
      <c r="H148" s="12" t="s">
        <v>69</v>
      </c>
      <c r="I148" s="12" t="s">
        <v>70</v>
      </c>
      <c r="J148" s="12" t="s">
        <v>50</v>
      </c>
      <c r="K148" s="12" t="s">
        <v>51</v>
      </c>
      <c r="L148" s="12" t="s">
        <v>89</v>
      </c>
      <c r="M148" s="11" t="n">
        <v>2</v>
      </c>
      <c r="N148" s="13" t="n">
        <v>426.59</v>
      </c>
      <c r="O148" s="14" t="n">
        <v>0</v>
      </c>
      <c r="P148" s="13" t="n">
        <v>853.17</v>
      </c>
      <c r="Q148" s="13" t="n">
        <v>220.33</v>
      </c>
      <c r="R148" s="12" t="s">
        <v>53</v>
      </c>
      <c r="S148" s="12" t="s">
        <v>54</v>
      </c>
    </row>
    <row r="149" customFormat="false" ht="15" hidden="false" customHeight="true" outlineLevel="0" collapsed="false">
      <c r="A149" s="7" t="s">
        <v>594</v>
      </c>
      <c r="B149" s="8" t="s">
        <v>595</v>
      </c>
      <c r="C149" s="8" t="s">
        <v>596</v>
      </c>
      <c r="D149" s="8" t="s">
        <v>23</v>
      </c>
      <c r="E149" s="7" t="s">
        <v>287</v>
      </c>
      <c r="F149" s="7" t="s">
        <v>25</v>
      </c>
      <c r="G149" s="7" t="n">
        <v>59</v>
      </c>
      <c r="H149" s="8" t="s">
        <v>69</v>
      </c>
      <c r="I149" s="8" t="s">
        <v>70</v>
      </c>
      <c r="J149" s="8" t="s">
        <v>50</v>
      </c>
      <c r="K149" s="8" t="s">
        <v>112</v>
      </c>
      <c r="L149" s="8" t="s">
        <v>505</v>
      </c>
      <c r="M149" s="7" t="n">
        <v>7</v>
      </c>
      <c r="N149" s="9" t="n">
        <v>15.44</v>
      </c>
      <c r="O149" s="10" t="n">
        <v>0.05</v>
      </c>
      <c r="P149" s="9" t="n">
        <v>102.68</v>
      </c>
      <c r="Q149" s="9" t="n">
        <v>58.54</v>
      </c>
      <c r="R149" s="8" t="s">
        <v>31</v>
      </c>
      <c r="S149" s="8" t="s">
        <v>54</v>
      </c>
    </row>
    <row r="150" customFormat="false" ht="15" hidden="false" customHeight="true" outlineLevel="0" collapsed="false">
      <c r="A150" s="11" t="s">
        <v>597</v>
      </c>
      <c r="B150" s="12" t="s">
        <v>598</v>
      </c>
      <c r="C150" s="12" t="s">
        <v>599</v>
      </c>
      <c r="D150" s="12" t="s">
        <v>23</v>
      </c>
      <c r="E150" s="11" t="s">
        <v>203</v>
      </c>
      <c r="F150" s="11" t="s">
        <v>47</v>
      </c>
      <c r="G150" s="11" t="n">
        <v>52</v>
      </c>
      <c r="H150" s="12" t="s">
        <v>184</v>
      </c>
      <c r="I150" s="12" t="s">
        <v>185</v>
      </c>
      <c r="J150" s="12" t="s">
        <v>88</v>
      </c>
      <c r="K150" s="12" t="s">
        <v>29</v>
      </c>
      <c r="L150" s="12" t="s">
        <v>39</v>
      </c>
      <c r="M150" s="11" t="n">
        <v>1</v>
      </c>
      <c r="N150" s="13" t="n">
        <v>34.57</v>
      </c>
      <c r="O150" s="14" t="n">
        <v>0</v>
      </c>
      <c r="P150" s="13" t="n">
        <v>34.57</v>
      </c>
      <c r="Q150" s="13" t="n">
        <v>12.94</v>
      </c>
      <c r="R150" s="12" t="s">
        <v>106</v>
      </c>
      <c r="S150" s="12" t="s">
        <v>41</v>
      </c>
    </row>
    <row r="151" customFormat="false" ht="15" hidden="false" customHeight="true" outlineLevel="0" collapsed="false">
      <c r="A151" s="7" t="s">
        <v>600</v>
      </c>
      <c r="B151" s="8" t="s">
        <v>283</v>
      </c>
      <c r="C151" s="8" t="s">
        <v>601</v>
      </c>
      <c r="D151" s="8" t="s">
        <v>476</v>
      </c>
      <c r="E151" s="7" t="s">
        <v>377</v>
      </c>
      <c r="F151" s="7" t="s">
        <v>25</v>
      </c>
      <c r="G151" s="7" t="n">
        <v>31</v>
      </c>
      <c r="H151" s="8" t="s">
        <v>190</v>
      </c>
      <c r="I151" s="8" t="s">
        <v>142</v>
      </c>
      <c r="J151" s="8" t="s">
        <v>88</v>
      </c>
      <c r="K151" s="8" t="s">
        <v>104</v>
      </c>
      <c r="L151" s="8" t="s">
        <v>151</v>
      </c>
      <c r="M151" s="7" t="n">
        <v>2</v>
      </c>
      <c r="N151" s="9" t="n">
        <v>47.46</v>
      </c>
      <c r="O151" s="10" t="n">
        <v>0.15</v>
      </c>
      <c r="P151" s="9" t="n">
        <v>80.68</v>
      </c>
      <c r="Q151" s="9" t="n">
        <v>32.79</v>
      </c>
      <c r="R151" s="8" t="s">
        <v>31</v>
      </c>
      <c r="S151" s="8" t="s">
        <v>128</v>
      </c>
    </row>
    <row r="152" customFormat="false" ht="15" hidden="false" customHeight="true" outlineLevel="0" collapsed="false">
      <c r="A152" s="11" t="s">
        <v>602</v>
      </c>
      <c r="B152" s="12" t="s">
        <v>109</v>
      </c>
      <c r="C152" s="12" t="s">
        <v>603</v>
      </c>
      <c r="D152" s="12" t="s">
        <v>412</v>
      </c>
      <c r="E152" s="11" t="s">
        <v>604</v>
      </c>
      <c r="F152" s="11" t="s">
        <v>25</v>
      </c>
      <c r="G152" s="11" t="n">
        <v>50</v>
      </c>
      <c r="H152" s="12" t="s">
        <v>184</v>
      </c>
      <c r="I152" s="12" t="s">
        <v>185</v>
      </c>
      <c r="J152" s="12" t="s">
        <v>88</v>
      </c>
      <c r="K152" s="12" t="s">
        <v>29</v>
      </c>
      <c r="L152" s="12" t="s">
        <v>605</v>
      </c>
      <c r="M152" s="11" t="n">
        <v>1</v>
      </c>
      <c r="N152" s="13" t="n">
        <v>60.65</v>
      </c>
      <c r="O152" s="14" t="n">
        <v>0</v>
      </c>
      <c r="P152" s="13" t="n">
        <v>60.65</v>
      </c>
      <c r="Q152" s="13" t="n">
        <v>23.41</v>
      </c>
      <c r="R152" s="12" t="s">
        <v>106</v>
      </c>
      <c r="S152" s="12" t="s">
        <v>128</v>
      </c>
    </row>
    <row r="153" customFormat="false" ht="15" hidden="false" customHeight="true" outlineLevel="0" collapsed="false">
      <c r="A153" s="7" t="s">
        <v>606</v>
      </c>
      <c r="B153" s="8" t="s">
        <v>577</v>
      </c>
      <c r="C153" s="8" t="s">
        <v>607</v>
      </c>
      <c r="D153" s="8" t="s">
        <v>556</v>
      </c>
      <c r="E153" s="7" t="s">
        <v>557</v>
      </c>
      <c r="F153" s="7" t="s">
        <v>47</v>
      </c>
      <c r="G153" s="7" t="n">
        <v>35</v>
      </c>
      <c r="H153" s="8" t="s">
        <v>184</v>
      </c>
      <c r="I153" s="8" t="s">
        <v>185</v>
      </c>
      <c r="J153" s="8" t="s">
        <v>88</v>
      </c>
      <c r="K153" s="8" t="s">
        <v>29</v>
      </c>
      <c r="L153" s="8" t="s">
        <v>244</v>
      </c>
      <c r="M153" s="7" t="n">
        <v>5</v>
      </c>
      <c r="N153" s="9" t="n">
        <v>66.03</v>
      </c>
      <c r="O153" s="10" t="n">
        <v>0.15</v>
      </c>
      <c r="P153" s="9" t="n">
        <v>280.62</v>
      </c>
      <c r="Q153" s="9" t="n">
        <v>107.54</v>
      </c>
      <c r="R153" s="8" t="s">
        <v>40</v>
      </c>
      <c r="S153" s="8" t="s">
        <v>128</v>
      </c>
    </row>
    <row r="154" customFormat="false" ht="15" hidden="false" customHeight="true" outlineLevel="0" collapsed="false">
      <c r="A154" s="11" t="s">
        <v>608</v>
      </c>
      <c r="B154" s="12" t="s">
        <v>286</v>
      </c>
      <c r="C154" s="12" t="s">
        <v>521</v>
      </c>
      <c r="D154" s="12" t="s">
        <v>110</v>
      </c>
      <c r="E154" s="11" t="s">
        <v>140</v>
      </c>
      <c r="F154" s="11" t="s">
        <v>47</v>
      </c>
      <c r="G154" s="11" t="n">
        <v>62</v>
      </c>
      <c r="H154" s="12" t="s">
        <v>77</v>
      </c>
      <c r="I154" s="12" t="s">
        <v>78</v>
      </c>
      <c r="J154" s="12" t="s">
        <v>79</v>
      </c>
      <c r="K154" s="12" t="s">
        <v>112</v>
      </c>
      <c r="L154" s="12" t="s">
        <v>505</v>
      </c>
      <c r="M154" s="11" t="n">
        <v>8</v>
      </c>
      <c r="N154" s="13" t="n">
        <v>13.03</v>
      </c>
      <c r="O154" s="14" t="n">
        <v>0</v>
      </c>
      <c r="P154" s="13" t="n">
        <v>104.25</v>
      </c>
      <c r="Q154" s="13" t="n">
        <v>73.6</v>
      </c>
      <c r="R154" s="12" t="s">
        <v>53</v>
      </c>
      <c r="S154" s="12" t="s">
        <v>54</v>
      </c>
    </row>
    <row r="155" customFormat="false" ht="15" hidden="false" customHeight="true" outlineLevel="0" collapsed="false">
      <c r="A155" s="7" t="s">
        <v>609</v>
      </c>
      <c r="B155" s="8" t="s">
        <v>403</v>
      </c>
      <c r="C155" s="8" t="s">
        <v>610</v>
      </c>
      <c r="D155" s="8" t="s">
        <v>486</v>
      </c>
      <c r="E155" s="7" t="s">
        <v>611</v>
      </c>
      <c r="F155" s="7" t="s">
        <v>25</v>
      </c>
      <c r="G155" s="7" t="n">
        <v>53</v>
      </c>
      <c r="H155" s="8" t="s">
        <v>184</v>
      </c>
      <c r="I155" s="8" t="s">
        <v>185</v>
      </c>
      <c r="J155" s="8" t="s">
        <v>88</v>
      </c>
      <c r="K155" s="8" t="s">
        <v>104</v>
      </c>
      <c r="L155" s="8" t="s">
        <v>574</v>
      </c>
      <c r="M155" s="7" t="n">
        <v>4</v>
      </c>
      <c r="N155" s="9" t="n">
        <v>116.44</v>
      </c>
      <c r="O155" s="10" t="n">
        <v>0.15</v>
      </c>
      <c r="P155" s="9" t="n">
        <v>395.88</v>
      </c>
      <c r="Q155" s="9" t="n">
        <v>142.62</v>
      </c>
      <c r="R155" s="8" t="s">
        <v>53</v>
      </c>
      <c r="S155" s="8" t="s">
        <v>120</v>
      </c>
    </row>
    <row r="156" customFormat="false" ht="15" hidden="false" customHeight="true" outlineLevel="0" collapsed="false">
      <c r="A156" s="11" t="s">
        <v>612</v>
      </c>
      <c r="B156" s="12" t="s">
        <v>153</v>
      </c>
      <c r="C156" s="12" t="s">
        <v>613</v>
      </c>
      <c r="D156" s="12" t="s">
        <v>433</v>
      </c>
      <c r="E156" s="11" t="s">
        <v>234</v>
      </c>
      <c r="F156" s="11" t="s">
        <v>25</v>
      </c>
      <c r="G156" s="11" t="n">
        <v>52</v>
      </c>
      <c r="H156" s="12" t="s">
        <v>86</v>
      </c>
      <c r="I156" s="12" t="s">
        <v>87</v>
      </c>
      <c r="J156" s="12" t="s">
        <v>88</v>
      </c>
      <c r="K156" s="12" t="s">
        <v>134</v>
      </c>
      <c r="L156" s="12" t="s">
        <v>135</v>
      </c>
      <c r="M156" s="11" t="n">
        <v>4</v>
      </c>
      <c r="N156" s="13" t="n">
        <v>9.82</v>
      </c>
      <c r="O156" s="14" t="n">
        <v>0</v>
      </c>
      <c r="P156" s="13" t="n">
        <v>39.28</v>
      </c>
      <c r="Q156" s="13" t="n">
        <v>25.25</v>
      </c>
      <c r="R156" s="12" t="s">
        <v>31</v>
      </c>
      <c r="S156" s="12" t="s">
        <v>63</v>
      </c>
    </row>
    <row r="157" customFormat="false" ht="15" hidden="false" customHeight="true" outlineLevel="0" collapsed="false">
      <c r="A157" s="7" t="s">
        <v>614</v>
      </c>
      <c r="B157" s="8" t="s">
        <v>615</v>
      </c>
      <c r="C157" s="8" t="s">
        <v>616</v>
      </c>
      <c r="D157" s="8" t="s">
        <v>233</v>
      </c>
      <c r="E157" s="7" t="s">
        <v>617</v>
      </c>
      <c r="F157" s="7" t="s">
        <v>25</v>
      </c>
      <c r="G157" s="7" t="n">
        <v>48</v>
      </c>
      <c r="H157" s="8" t="s">
        <v>156</v>
      </c>
      <c r="I157" s="8" t="s">
        <v>157</v>
      </c>
      <c r="J157" s="8" t="s">
        <v>28</v>
      </c>
      <c r="K157" s="8" t="s">
        <v>29</v>
      </c>
      <c r="L157" s="8" t="s">
        <v>605</v>
      </c>
      <c r="M157" s="7" t="n">
        <v>4</v>
      </c>
      <c r="N157" s="9" t="n">
        <v>70.31</v>
      </c>
      <c r="O157" s="10" t="n">
        <v>0.1</v>
      </c>
      <c r="P157" s="9" t="n">
        <v>253.12</v>
      </c>
      <c r="Q157" s="9" t="n">
        <v>104.82</v>
      </c>
      <c r="R157" s="8" t="s">
        <v>72</v>
      </c>
      <c r="S157" s="8" t="s">
        <v>63</v>
      </c>
    </row>
    <row r="158" customFormat="false" ht="15" hidden="false" customHeight="true" outlineLevel="0" collapsed="false">
      <c r="A158" s="11" t="s">
        <v>618</v>
      </c>
      <c r="B158" s="12" t="s">
        <v>619</v>
      </c>
      <c r="C158" s="12" t="s">
        <v>620</v>
      </c>
      <c r="D158" s="12" t="s">
        <v>296</v>
      </c>
      <c r="E158" s="11" t="s">
        <v>203</v>
      </c>
      <c r="F158" s="11" t="s">
        <v>47</v>
      </c>
      <c r="G158" s="11" t="n">
        <v>36</v>
      </c>
      <c r="H158" s="12" t="s">
        <v>163</v>
      </c>
      <c r="I158" s="12" t="s">
        <v>164</v>
      </c>
      <c r="J158" s="12" t="s">
        <v>79</v>
      </c>
      <c r="K158" s="12" t="s">
        <v>104</v>
      </c>
      <c r="L158" s="12" t="s">
        <v>229</v>
      </c>
      <c r="M158" s="11" t="n">
        <v>4</v>
      </c>
      <c r="N158" s="13" t="n">
        <v>67.7</v>
      </c>
      <c r="O158" s="14" t="n">
        <v>0.15</v>
      </c>
      <c r="P158" s="13" t="n">
        <v>230.16</v>
      </c>
      <c r="Q158" s="13" t="n">
        <v>85.24</v>
      </c>
      <c r="R158" s="12" t="s">
        <v>53</v>
      </c>
      <c r="S158" s="12" t="s">
        <v>120</v>
      </c>
    </row>
    <row r="159" customFormat="false" ht="15" hidden="false" customHeight="true" outlineLevel="0" collapsed="false">
      <c r="A159" s="7" t="s">
        <v>621</v>
      </c>
      <c r="B159" s="8" t="s">
        <v>622</v>
      </c>
      <c r="C159" s="8" t="s">
        <v>586</v>
      </c>
      <c r="D159" s="8" t="s">
        <v>469</v>
      </c>
      <c r="E159" s="7" t="s">
        <v>352</v>
      </c>
      <c r="F159" s="7" t="s">
        <v>47</v>
      </c>
      <c r="G159" s="7" t="n">
        <v>31</v>
      </c>
      <c r="H159" s="8" t="s">
        <v>69</v>
      </c>
      <c r="I159" s="8" t="s">
        <v>70</v>
      </c>
      <c r="J159" s="8" t="s">
        <v>50</v>
      </c>
      <c r="K159" s="8" t="s">
        <v>61</v>
      </c>
      <c r="L159" s="8" t="s">
        <v>235</v>
      </c>
      <c r="M159" s="7" t="n">
        <v>9</v>
      </c>
      <c r="N159" s="9" t="n">
        <v>42.11</v>
      </c>
      <c r="O159" s="10" t="n">
        <v>0.05</v>
      </c>
      <c r="P159" s="9" t="n">
        <v>360.04</v>
      </c>
      <c r="Q159" s="9" t="n">
        <v>96.71</v>
      </c>
      <c r="R159" s="8" t="s">
        <v>72</v>
      </c>
      <c r="S159" s="8" t="s">
        <v>90</v>
      </c>
    </row>
    <row r="160" customFormat="false" ht="15" hidden="false" customHeight="true" outlineLevel="0" collapsed="false">
      <c r="A160" s="11" t="s">
        <v>623</v>
      </c>
      <c r="B160" s="12" t="s">
        <v>532</v>
      </c>
      <c r="C160" s="12" t="s">
        <v>624</v>
      </c>
      <c r="D160" s="12" t="s">
        <v>189</v>
      </c>
      <c r="E160" s="11" t="s">
        <v>459</v>
      </c>
      <c r="F160" s="11" t="s">
        <v>47</v>
      </c>
      <c r="G160" s="11" t="n">
        <v>27</v>
      </c>
      <c r="H160" s="12" t="s">
        <v>119</v>
      </c>
      <c r="I160" s="12" t="s">
        <v>119</v>
      </c>
      <c r="J160" s="12" t="s">
        <v>28</v>
      </c>
      <c r="K160" s="12" t="s">
        <v>104</v>
      </c>
      <c r="L160" s="12" t="s">
        <v>213</v>
      </c>
      <c r="M160" s="11" t="n">
        <v>5</v>
      </c>
      <c r="N160" s="13" t="n">
        <v>26.78</v>
      </c>
      <c r="O160" s="14" t="n">
        <v>0.1</v>
      </c>
      <c r="P160" s="13" t="n">
        <v>120.52</v>
      </c>
      <c r="Q160" s="13" t="n">
        <v>52.22</v>
      </c>
      <c r="R160" s="12" t="s">
        <v>72</v>
      </c>
      <c r="S160" s="12" t="s">
        <v>41</v>
      </c>
    </row>
    <row r="161" customFormat="false" ht="15" hidden="false" customHeight="true" outlineLevel="0" collapsed="false">
      <c r="A161" s="7" t="s">
        <v>625</v>
      </c>
      <c r="B161" s="8" t="s">
        <v>626</v>
      </c>
      <c r="C161" s="8" t="s">
        <v>616</v>
      </c>
      <c r="D161" s="8" t="s">
        <v>73</v>
      </c>
      <c r="E161" s="7" t="s">
        <v>560</v>
      </c>
      <c r="F161" s="7" t="s">
        <v>47</v>
      </c>
      <c r="G161" s="7" t="n">
        <v>28</v>
      </c>
      <c r="H161" s="8" t="s">
        <v>77</v>
      </c>
      <c r="I161" s="8" t="s">
        <v>78</v>
      </c>
      <c r="J161" s="8" t="s">
        <v>79</v>
      </c>
      <c r="K161" s="8" t="s">
        <v>104</v>
      </c>
      <c r="L161" s="8" t="s">
        <v>574</v>
      </c>
      <c r="M161" s="7" t="n">
        <v>6</v>
      </c>
      <c r="N161" s="9" t="n">
        <v>114.35</v>
      </c>
      <c r="O161" s="10" t="n">
        <v>0.2</v>
      </c>
      <c r="P161" s="9" t="n">
        <v>548.89</v>
      </c>
      <c r="Q161" s="9" t="n">
        <v>229.48</v>
      </c>
      <c r="R161" s="8" t="s">
        <v>106</v>
      </c>
      <c r="S161" s="8" t="s">
        <v>54</v>
      </c>
    </row>
    <row r="162" customFormat="false" ht="15" hidden="false" customHeight="true" outlineLevel="0" collapsed="false">
      <c r="A162" s="11" t="s">
        <v>627</v>
      </c>
      <c r="B162" s="12" t="s">
        <v>628</v>
      </c>
      <c r="C162" s="12" t="s">
        <v>629</v>
      </c>
      <c r="D162" s="12" t="s">
        <v>630</v>
      </c>
      <c r="E162" s="11" t="s">
        <v>341</v>
      </c>
      <c r="F162" s="11" t="s">
        <v>25</v>
      </c>
      <c r="G162" s="11" t="n">
        <v>44</v>
      </c>
      <c r="H162" s="12" t="s">
        <v>348</v>
      </c>
      <c r="I162" s="12" t="s">
        <v>164</v>
      </c>
      <c r="J162" s="12" t="s">
        <v>79</v>
      </c>
      <c r="K162" s="12" t="s">
        <v>104</v>
      </c>
      <c r="L162" s="12" t="s">
        <v>558</v>
      </c>
      <c r="M162" s="11" t="n">
        <v>1</v>
      </c>
      <c r="N162" s="13" t="n">
        <v>47.43</v>
      </c>
      <c r="O162" s="14" t="n">
        <v>0</v>
      </c>
      <c r="P162" s="13" t="n">
        <v>47.43</v>
      </c>
      <c r="Q162" s="13" t="n">
        <v>23.47</v>
      </c>
      <c r="R162" s="12" t="s">
        <v>144</v>
      </c>
      <c r="S162" s="12" t="s">
        <v>41</v>
      </c>
    </row>
    <row r="163" customFormat="false" ht="15" hidden="false" customHeight="true" outlineLevel="0" collapsed="false">
      <c r="A163" s="7" t="s">
        <v>631</v>
      </c>
      <c r="B163" s="8" t="s">
        <v>507</v>
      </c>
      <c r="C163" s="8" t="s">
        <v>632</v>
      </c>
      <c r="D163" s="8" t="s">
        <v>442</v>
      </c>
      <c r="E163" s="7" t="s">
        <v>221</v>
      </c>
      <c r="F163" s="7" t="s">
        <v>47</v>
      </c>
      <c r="G163" s="7" t="n">
        <v>60</v>
      </c>
      <c r="H163" s="8" t="s">
        <v>190</v>
      </c>
      <c r="I163" s="8" t="s">
        <v>142</v>
      </c>
      <c r="J163" s="8" t="s">
        <v>88</v>
      </c>
      <c r="K163" s="8" t="s">
        <v>104</v>
      </c>
      <c r="L163" s="8" t="s">
        <v>558</v>
      </c>
      <c r="M163" s="7" t="n">
        <v>9</v>
      </c>
      <c r="N163" s="9" t="n">
        <v>41.3</v>
      </c>
      <c r="O163" s="10" t="n">
        <v>0</v>
      </c>
      <c r="P163" s="9" t="n">
        <v>371.67</v>
      </c>
      <c r="Q163" s="9" t="n">
        <v>163.46</v>
      </c>
      <c r="R163" s="8" t="s">
        <v>31</v>
      </c>
      <c r="S163" s="8" t="s">
        <v>32</v>
      </c>
    </row>
    <row r="164" customFormat="false" ht="15" hidden="false" customHeight="true" outlineLevel="0" collapsed="false">
      <c r="A164" s="11" t="s">
        <v>633</v>
      </c>
      <c r="B164" s="12" t="s">
        <v>551</v>
      </c>
      <c r="C164" s="12" t="s">
        <v>481</v>
      </c>
      <c r="D164" s="12" t="s">
        <v>476</v>
      </c>
      <c r="E164" s="11" t="s">
        <v>421</v>
      </c>
      <c r="F164" s="11" t="s">
        <v>47</v>
      </c>
      <c r="G164" s="11" t="n">
        <v>29</v>
      </c>
      <c r="H164" s="12" t="s">
        <v>119</v>
      </c>
      <c r="I164" s="12" t="s">
        <v>119</v>
      </c>
      <c r="J164" s="12" t="s">
        <v>28</v>
      </c>
      <c r="K164" s="12" t="s">
        <v>134</v>
      </c>
      <c r="L164" s="12" t="s">
        <v>207</v>
      </c>
      <c r="M164" s="11" t="n">
        <v>9</v>
      </c>
      <c r="N164" s="13" t="n">
        <v>17.08</v>
      </c>
      <c r="O164" s="14" t="n">
        <v>0.1</v>
      </c>
      <c r="P164" s="13" t="n">
        <v>138.37</v>
      </c>
      <c r="Q164" s="13" t="n">
        <v>90.64</v>
      </c>
      <c r="R164" s="12" t="s">
        <v>31</v>
      </c>
      <c r="S164" s="12" t="s">
        <v>120</v>
      </c>
    </row>
    <row r="165" customFormat="false" ht="15" hidden="false" customHeight="true" outlineLevel="0" collapsed="false">
      <c r="A165" s="7" t="s">
        <v>634</v>
      </c>
      <c r="B165" s="8" t="s">
        <v>635</v>
      </c>
      <c r="C165" s="8" t="s">
        <v>260</v>
      </c>
      <c r="D165" s="8" t="s">
        <v>290</v>
      </c>
      <c r="E165" s="7" t="s">
        <v>206</v>
      </c>
      <c r="F165" s="7" t="s">
        <v>47</v>
      </c>
      <c r="G165" s="7" t="n">
        <v>54</v>
      </c>
      <c r="H165" s="8" t="s">
        <v>69</v>
      </c>
      <c r="I165" s="8" t="s">
        <v>70</v>
      </c>
      <c r="J165" s="8" t="s">
        <v>50</v>
      </c>
      <c r="K165" s="8" t="s">
        <v>104</v>
      </c>
      <c r="L165" s="8" t="s">
        <v>151</v>
      </c>
      <c r="M165" s="7" t="n">
        <v>5</v>
      </c>
      <c r="N165" s="9" t="n">
        <v>64.24</v>
      </c>
      <c r="O165" s="10" t="n">
        <v>0</v>
      </c>
      <c r="P165" s="9" t="n">
        <v>321.19</v>
      </c>
      <c r="Q165" s="9" t="n">
        <v>128.05</v>
      </c>
      <c r="R165" s="8" t="s">
        <v>144</v>
      </c>
      <c r="S165" s="8" t="s">
        <v>41</v>
      </c>
    </row>
    <row r="166" customFormat="false" ht="15" hidden="false" customHeight="true" outlineLevel="0" collapsed="false">
      <c r="A166" s="11" t="s">
        <v>636</v>
      </c>
      <c r="B166" s="12" t="s">
        <v>403</v>
      </c>
      <c r="C166" s="12" t="s">
        <v>323</v>
      </c>
      <c r="D166" s="12" t="s">
        <v>637</v>
      </c>
      <c r="E166" s="11" t="s">
        <v>228</v>
      </c>
      <c r="F166" s="11" t="s">
        <v>25</v>
      </c>
      <c r="G166" s="11" t="n">
        <v>23</v>
      </c>
      <c r="H166" s="12" t="s">
        <v>156</v>
      </c>
      <c r="I166" s="12" t="s">
        <v>157</v>
      </c>
      <c r="J166" s="12" t="s">
        <v>28</v>
      </c>
      <c r="K166" s="12" t="s">
        <v>51</v>
      </c>
      <c r="L166" s="12" t="s">
        <v>217</v>
      </c>
      <c r="M166" s="11" t="n">
        <v>7</v>
      </c>
      <c r="N166" s="13" t="n">
        <v>3205.46</v>
      </c>
      <c r="O166" s="14" t="n">
        <v>0.1</v>
      </c>
      <c r="P166" s="13" t="n">
        <v>20194.39</v>
      </c>
      <c r="Q166" s="13" t="n">
        <v>4400.12</v>
      </c>
      <c r="R166" s="12" t="s">
        <v>53</v>
      </c>
      <c r="S166" s="12" t="s">
        <v>96</v>
      </c>
    </row>
    <row r="167" customFormat="false" ht="15" hidden="false" customHeight="true" outlineLevel="0" collapsed="false">
      <c r="A167" s="7" t="s">
        <v>638</v>
      </c>
      <c r="B167" s="8" t="s">
        <v>629</v>
      </c>
      <c r="C167" s="8" t="s">
        <v>588</v>
      </c>
      <c r="D167" s="8" t="s">
        <v>469</v>
      </c>
      <c r="E167" s="7" t="s">
        <v>258</v>
      </c>
      <c r="F167" s="7" t="s">
        <v>47</v>
      </c>
      <c r="G167" s="7" t="n">
        <v>20</v>
      </c>
      <c r="H167" s="8" t="s">
        <v>184</v>
      </c>
      <c r="I167" s="8" t="s">
        <v>185</v>
      </c>
      <c r="J167" s="8" t="s">
        <v>88</v>
      </c>
      <c r="K167" s="8" t="s">
        <v>29</v>
      </c>
      <c r="L167" s="8" t="s">
        <v>605</v>
      </c>
      <c r="M167" s="7" t="n">
        <v>4</v>
      </c>
      <c r="N167" s="9" t="n">
        <v>72.63</v>
      </c>
      <c r="O167" s="10" t="n">
        <v>0.15</v>
      </c>
      <c r="P167" s="9" t="n">
        <v>246.94</v>
      </c>
      <c r="Q167" s="9" t="n">
        <v>108.38</v>
      </c>
      <c r="R167" s="8" t="s">
        <v>144</v>
      </c>
      <c r="S167" s="8" t="s">
        <v>63</v>
      </c>
    </row>
    <row r="168" customFormat="false" ht="15" hidden="false" customHeight="true" outlineLevel="0" collapsed="false">
      <c r="A168" s="11" t="s">
        <v>639</v>
      </c>
      <c r="B168" s="12" t="s">
        <v>573</v>
      </c>
      <c r="C168" s="12" t="s">
        <v>93</v>
      </c>
      <c r="D168" s="12" t="s">
        <v>336</v>
      </c>
      <c r="E168" s="11" t="s">
        <v>101</v>
      </c>
      <c r="F168" s="11" t="s">
        <v>25</v>
      </c>
      <c r="G168" s="11" t="n">
        <v>37</v>
      </c>
      <c r="H168" s="12" t="s">
        <v>125</v>
      </c>
      <c r="I168" s="12" t="s">
        <v>126</v>
      </c>
      <c r="J168" s="12" t="s">
        <v>88</v>
      </c>
      <c r="K168" s="12" t="s">
        <v>112</v>
      </c>
      <c r="L168" s="12" t="s">
        <v>170</v>
      </c>
      <c r="M168" s="11" t="n">
        <v>6</v>
      </c>
      <c r="N168" s="13" t="n">
        <v>17.13</v>
      </c>
      <c r="O168" s="14" t="n">
        <v>0</v>
      </c>
      <c r="P168" s="13" t="n">
        <v>102.75</v>
      </c>
      <c r="Q168" s="13" t="n">
        <v>63.8</v>
      </c>
      <c r="R168" s="12" t="s">
        <v>40</v>
      </c>
      <c r="S168" s="12" t="s">
        <v>41</v>
      </c>
    </row>
    <row r="169" customFormat="false" ht="15" hidden="false" customHeight="true" outlineLevel="0" collapsed="false">
      <c r="A169" s="7" t="s">
        <v>640</v>
      </c>
      <c r="B169" s="8" t="s">
        <v>93</v>
      </c>
      <c r="C169" s="8" t="s">
        <v>34</v>
      </c>
      <c r="D169" s="8" t="s">
        <v>438</v>
      </c>
      <c r="E169" s="7" t="s">
        <v>641</v>
      </c>
      <c r="F169" s="7" t="s">
        <v>47</v>
      </c>
      <c r="G169" s="7" t="n">
        <v>21</v>
      </c>
      <c r="H169" s="8" t="s">
        <v>149</v>
      </c>
      <c r="I169" s="8" t="s">
        <v>150</v>
      </c>
      <c r="J169" s="8" t="s">
        <v>50</v>
      </c>
      <c r="K169" s="8" t="s">
        <v>112</v>
      </c>
      <c r="L169" s="8" t="s">
        <v>113</v>
      </c>
      <c r="M169" s="7" t="n">
        <v>3</v>
      </c>
      <c r="N169" s="9" t="n">
        <v>29.15</v>
      </c>
      <c r="O169" s="10" t="n">
        <v>0.15</v>
      </c>
      <c r="P169" s="9" t="n">
        <v>74.35</v>
      </c>
      <c r="Q169" s="9" t="n">
        <v>48.61</v>
      </c>
      <c r="R169" s="8" t="s">
        <v>53</v>
      </c>
      <c r="S169" s="8" t="s">
        <v>41</v>
      </c>
    </row>
    <row r="170" customFormat="false" ht="15" hidden="false" customHeight="true" outlineLevel="0" collapsed="false">
      <c r="A170" s="11" t="s">
        <v>642</v>
      </c>
      <c r="B170" s="12" t="s">
        <v>350</v>
      </c>
      <c r="C170" s="12" t="s">
        <v>643</v>
      </c>
      <c r="D170" s="12" t="s">
        <v>73</v>
      </c>
      <c r="E170" s="11" t="s">
        <v>68</v>
      </c>
      <c r="F170" s="11" t="s">
        <v>25</v>
      </c>
      <c r="G170" s="11" t="n">
        <v>40</v>
      </c>
      <c r="H170" s="12" t="s">
        <v>59</v>
      </c>
      <c r="I170" s="12" t="s">
        <v>60</v>
      </c>
      <c r="J170" s="12" t="s">
        <v>50</v>
      </c>
      <c r="K170" s="12" t="s">
        <v>29</v>
      </c>
      <c r="L170" s="12" t="s">
        <v>194</v>
      </c>
      <c r="M170" s="11" t="n">
        <v>1</v>
      </c>
      <c r="N170" s="13" t="n">
        <v>22.07</v>
      </c>
      <c r="O170" s="14" t="n">
        <v>0.2</v>
      </c>
      <c r="P170" s="13" t="n">
        <v>17.66</v>
      </c>
      <c r="Q170" s="13" t="n">
        <v>8.03</v>
      </c>
      <c r="R170" s="12" t="s">
        <v>53</v>
      </c>
      <c r="S170" s="12" t="s">
        <v>90</v>
      </c>
    </row>
    <row r="171" customFormat="false" ht="15" hidden="false" customHeight="true" outlineLevel="0" collapsed="false">
      <c r="A171" s="7" t="s">
        <v>644</v>
      </c>
      <c r="B171" s="8" t="s">
        <v>645</v>
      </c>
      <c r="C171" s="8" t="s">
        <v>646</v>
      </c>
      <c r="D171" s="8" t="s">
        <v>647</v>
      </c>
      <c r="E171" s="7" t="s">
        <v>203</v>
      </c>
      <c r="F171" s="7" t="s">
        <v>47</v>
      </c>
      <c r="G171" s="7" t="n">
        <v>27</v>
      </c>
      <c r="H171" s="8" t="s">
        <v>156</v>
      </c>
      <c r="I171" s="8" t="s">
        <v>157</v>
      </c>
      <c r="J171" s="8" t="s">
        <v>28</v>
      </c>
      <c r="K171" s="8" t="s">
        <v>29</v>
      </c>
      <c r="L171" s="8" t="s">
        <v>194</v>
      </c>
      <c r="M171" s="7" t="n">
        <v>10</v>
      </c>
      <c r="N171" s="9" t="n">
        <v>19.36</v>
      </c>
      <c r="O171" s="10" t="n">
        <v>0</v>
      </c>
      <c r="P171" s="9" t="n">
        <v>193.63</v>
      </c>
      <c r="Q171" s="9" t="n">
        <v>79.85</v>
      </c>
      <c r="R171" s="8" t="s">
        <v>144</v>
      </c>
      <c r="S171" s="8" t="s">
        <v>54</v>
      </c>
    </row>
    <row r="172" customFormat="false" ht="15" hidden="false" customHeight="true" outlineLevel="0" collapsed="false">
      <c r="A172" s="11" t="s">
        <v>648</v>
      </c>
      <c r="B172" s="12" t="s">
        <v>649</v>
      </c>
      <c r="C172" s="12" t="s">
        <v>329</v>
      </c>
      <c r="D172" s="12" t="s">
        <v>182</v>
      </c>
      <c r="E172" s="11" t="s">
        <v>291</v>
      </c>
      <c r="F172" s="11" t="s">
        <v>25</v>
      </c>
      <c r="G172" s="11" t="n">
        <v>26</v>
      </c>
      <c r="H172" s="12" t="s">
        <v>156</v>
      </c>
      <c r="I172" s="12" t="s">
        <v>157</v>
      </c>
      <c r="J172" s="12" t="s">
        <v>28</v>
      </c>
      <c r="K172" s="12" t="s">
        <v>61</v>
      </c>
      <c r="L172" s="12" t="s">
        <v>401</v>
      </c>
      <c r="M172" s="11" t="n">
        <v>1</v>
      </c>
      <c r="N172" s="13" t="n">
        <v>245.44</v>
      </c>
      <c r="O172" s="14" t="n">
        <v>0.05</v>
      </c>
      <c r="P172" s="13" t="n">
        <v>233.16</v>
      </c>
      <c r="Q172" s="13" t="n">
        <v>70.43</v>
      </c>
      <c r="R172" s="12" t="s">
        <v>106</v>
      </c>
      <c r="S172" s="12" t="s">
        <v>90</v>
      </c>
    </row>
    <row r="173" customFormat="false" ht="15" hidden="false" customHeight="true" outlineLevel="0" collapsed="false">
      <c r="A173" s="7" t="s">
        <v>650</v>
      </c>
      <c r="B173" s="8" t="s">
        <v>651</v>
      </c>
      <c r="C173" s="8" t="s">
        <v>256</v>
      </c>
      <c r="D173" s="8" t="s">
        <v>124</v>
      </c>
      <c r="E173" s="7" t="s">
        <v>253</v>
      </c>
      <c r="F173" s="7" t="s">
        <v>47</v>
      </c>
      <c r="G173" s="7" t="n">
        <v>42</v>
      </c>
      <c r="H173" s="8" t="s">
        <v>102</v>
      </c>
      <c r="I173" s="8" t="s">
        <v>103</v>
      </c>
      <c r="J173" s="8" t="s">
        <v>28</v>
      </c>
      <c r="K173" s="8" t="s">
        <v>29</v>
      </c>
      <c r="L173" s="8" t="s">
        <v>194</v>
      </c>
      <c r="M173" s="7" t="n">
        <v>1</v>
      </c>
      <c r="N173" s="9" t="n">
        <v>17.72</v>
      </c>
      <c r="O173" s="10" t="n">
        <v>0.1</v>
      </c>
      <c r="P173" s="9" t="n">
        <v>15.95</v>
      </c>
      <c r="Q173" s="9" t="n">
        <v>5.07</v>
      </c>
      <c r="R173" s="8" t="s">
        <v>72</v>
      </c>
      <c r="S173" s="8" t="s">
        <v>90</v>
      </c>
    </row>
    <row r="174" customFormat="false" ht="15" hidden="false" customHeight="true" outlineLevel="0" collapsed="false">
      <c r="A174" s="11" t="s">
        <v>652</v>
      </c>
      <c r="B174" s="12" t="s">
        <v>224</v>
      </c>
      <c r="C174" s="12" t="s">
        <v>653</v>
      </c>
      <c r="D174" s="12" t="s">
        <v>182</v>
      </c>
      <c r="E174" s="11" t="s">
        <v>228</v>
      </c>
      <c r="F174" s="11" t="s">
        <v>47</v>
      </c>
      <c r="G174" s="11" t="n">
        <v>35</v>
      </c>
      <c r="H174" s="12" t="s">
        <v>266</v>
      </c>
      <c r="I174" s="12" t="s">
        <v>78</v>
      </c>
      <c r="J174" s="12" t="s">
        <v>79</v>
      </c>
      <c r="K174" s="12" t="s">
        <v>51</v>
      </c>
      <c r="L174" s="12" t="s">
        <v>71</v>
      </c>
      <c r="M174" s="11" t="n">
        <v>9</v>
      </c>
      <c r="N174" s="13" t="n">
        <v>137.67</v>
      </c>
      <c r="O174" s="14" t="n">
        <v>0.05</v>
      </c>
      <c r="P174" s="13" t="n">
        <v>1177.12</v>
      </c>
      <c r="Q174" s="13" t="n">
        <v>224.73</v>
      </c>
      <c r="R174" s="12" t="s">
        <v>106</v>
      </c>
      <c r="S174" s="12" t="s">
        <v>73</v>
      </c>
    </row>
    <row r="175" customFormat="false" ht="15" hidden="false" customHeight="true" outlineLevel="0" collapsed="false">
      <c r="A175" s="7" t="s">
        <v>654</v>
      </c>
      <c r="B175" s="8" t="s">
        <v>655</v>
      </c>
      <c r="C175" s="8" t="s">
        <v>579</v>
      </c>
      <c r="D175" s="8" t="s">
        <v>656</v>
      </c>
      <c r="E175" s="7" t="s">
        <v>545</v>
      </c>
      <c r="F175" s="7" t="s">
        <v>47</v>
      </c>
      <c r="G175" s="7" t="n">
        <v>56</v>
      </c>
      <c r="H175" s="8" t="s">
        <v>141</v>
      </c>
      <c r="I175" s="8" t="s">
        <v>142</v>
      </c>
      <c r="J175" s="8" t="s">
        <v>88</v>
      </c>
      <c r="K175" s="8" t="s">
        <v>61</v>
      </c>
      <c r="L175" s="8" t="s">
        <v>360</v>
      </c>
      <c r="M175" s="7" t="n">
        <v>8</v>
      </c>
      <c r="N175" s="9" t="n">
        <v>290.77</v>
      </c>
      <c r="O175" s="10" t="n">
        <v>0</v>
      </c>
      <c r="P175" s="9" t="n">
        <v>2326.13</v>
      </c>
      <c r="Q175" s="9" t="n">
        <v>670.43</v>
      </c>
      <c r="R175" s="8" t="s">
        <v>106</v>
      </c>
      <c r="S175" s="8" t="s">
        <v>80</v>
      </c>
    </row>
    <row r="176" customFormat="false" ht="15" hidden="false" customHeight="true" outlineLevel="0" collapsed="false">
      <c r="A176" s="11" t="s">
        <v>657</v>
      </c>
      <c r="B176" s="12" t="s">
        <v>441</v>
      </c>
      <c r="C176" s="12" t="s">
        <v>518</v>
      </c>
      <c r="D176" s="12" t="s">
        <v>658</v>
      </c>
      <c r="E176" s="11" t="s">
        <v>133</v>
      </c>
      <c r="F176" s="11" t="s">
        <v>47</v>
      </c>
      <c r="G176" s="11" t="n">
        <v>39</v>
      </c>
      <c r="H176" s="12" t="s">
        <v>149</v>
      </c>
      <c r="I176" s="12" t="s">
        <v>150</v>
      </c>
      <c r="J176" s="12" t="s">
        <v>50</v>
      </c>
      <c r="K176" s="12" t="s">
        <v>61</v>
      </c>
      <c r="L176" s="12" t="s">
        <v>254</v>
      </c>
      <c r="M176" s="11" t="n">
        <v>6</v>
      </c>
      <c r="N176" s="13" t="n">
        <v>94.93</v>
      </c>
      <c r="O176" s="14" t="n">
        <v>0.05</v>
      </c>
      <c r="P176" s="13" t="n">
        <v>541.11</v>
      </c>
      <c r="Q176" s="13" t="n">
        <v>194.22</v>
      </c>
      <c r="R176" s="12" t="s">
        <v>144</v>
      </c>
      <c r="S176" s="12" t="s">
        <v>128</v>
      </c>
    </row>
    <row r="177" customFormat="false" ht="15" hidden="false" customHeight="true" outlineLevel="0" collapsed="false">
      <c r="A177" s="7" t="s">
        <v>659</v>
      </c>
      <c r="B177" s="8" t="s">
        <v>595</v>
      </c>
      <c r="C177" s="8" t="s">
        <v>635</v>
      </c>
      <c r="D177" s="8" t="s">
        <v>139</v>
      </c>
      <c r="E177" s="7" t="s">
        <v>206</v>
      </c>
      <c r="F177" s="7" t="s">
        <v>47</v>
      </c>
      <c r="G177" s="7" t="n">
        <v>54</v>
      </c>
      <c r="H177" s="8" t="s">
        <v>163</v>
      </c>
      <c r="I177" s="8" t="s">
        <v>164</v>
      </c>
      <c r="J177" s="8" t="s">
        <v>79</v>
      </c>
      <c r="K177" s="8" t="s">
        <v>61</v>
      </c>
      <c r="L177" s="8" t="s">
        <v>378</v>
      </c>
      <c r="M177" s="7" t="n">
        <v>6</v>
      </c>
      <c r="N177" s="9" t="n">
        <v>736.84</v>
      </c>
      <c r="O177" s="10" t="n">
        <v>0.05</v>
      </c>
      <c r="P177" s="9" t="n">
        <v>4200.01</v>
      </c>
      <c r="Q177" s="9" t="n">
        <v>1595.99</v>
      </c>
      <c r="R177" s="8" t="s">
        <v>72</v>
      </c>
      <c r="S177" s="8" t="s">
        <v>90</v>
      </c>
    </row>
    <row r="178" customFormat="false" ht="15" hidden="false" customHeight="true" outlineLevel="0" collapsed="false">
      <c r="A178" s="11" t="s">
        <v>660</v>
      </c>
      <c r="B178" s="12" t="s">
        <v>316</v>
      </c>
      <c r="C178" s="12" t="s">
        <v>306</v>
      </c>
      <c r="D178" s="12" t="s">
        <v>174</v>
      </c>
      <c r="E178" s="11" t="s">
        <v>661</v>
      </c>
      <c r="F178" s="11" t="s">
        <v>25</v>
      </c>
      <c r="G178" s="11" t="n">
        <v>64</v>
      </c>
      <c r="H178" s="12" t="s">
        <v>102</v>
      </c>
      <c r="I178" s="12" t="s">
        <v>103</v>
      </c>
      <c r="J178" s="12" t="s">
        <v>28</v>
      </c>
      <c r="K178" s="12" t="s">
        <v>134</v>
      </c>
      <c r="L178" s="12" t="s">
        <v>178</v>
      </c>
      <c r="M178" s="11" t="n">
        <v>10</v>
      </c>
      <c r="N178" s="13" t="n">
        <v>18.6</v>
      </c>
      <c r="O178" s="14" t="n">
        <v>0.1</v>
      </c>
      <c r="P178" s="13" t="n">
        <v>167.39</v>
      </c>
      <c r="Q178" s="13" t="n">
        <v>80.28</v>
      </c>
      <c r="R178" s="12" t="s">
        <v>144</v>
      </c>
      <c r="S178" s="12" t="s">
        <v>41</v>
      </c>
    </row>
    <row r="179" customFormat="false" ht="15" hidden="false" customHeight="true" outlineLevel="0" collapsed="false">
      <c r="A179" s="7" t="s">
        <v>662</v>
      </c>
      <c r="B179" s="8" t="s">
        <v>445</v>
      </c>
      <c r="C179" s="8" t="s">
        <v>663</v>
      </c>
      <c r="D179" s="8" t="s">
        <v>277</v>
      </c>
      <c r="E179" s="7" t="s">
        <v>258</v>
      </c>
      <c r="F179" s="7" t="s">
        <v>47</v>
      </c>
      <c r="G179" s="7" t="n">
        <v>42</v>
      </c>
      <c r="H179" s="8" t="s">
        <v>48</v>
      </c>
      <c r="I179" s="8" t="s">
        <v>49</v>
      </c>
      <c r="J179" s="8" t="s">
        <v>50</v>
      </c>
      <c r="K179" s="8" t="s">
        <v>61</v>
      </c>
      <c r="L179" s="8" t="s">
        <v>401</v>
      </c>
      <c r="M179" s="7" t="n">
        <v>8</v>
      </c>
      <c r="N179" s="9" t="n">
        <v>181.13</v>
      </c>
      <c r="O179" s="10" t="n">
        <v>0</v>
      </c>
      <c r="P179" s="9" t="n">
        <v>1449.07</v>
      </c>
      <c r="Q179" s="9" t="n">
        <v>415.85</v>
      </c>
      <c r="R179" s="8" t="s">
        <v>53</v>
      </c>
      <c r="S179" s="8" t="s">
        <v>128</v>
      </c>
    </row>
    <row r="180" customFormat="false" ht="15" hidden="false" customHeight="true" outlineLevel="0" collapsed="false">
      <c r="A180" s="11" t="s">
        <v>664</v>
      </c>
      <c r="B180" s="12" t="s">
        <v>665</v>
      </c>
      <c r="C180" s="12" t="s">
        <v>666</v>
      </c>
      <c r="D180" s="12" t="s">
        <v>132</v>
      </c>
      <c r="E180" s="11" t="s">
        <v>206</v>
      </c>
      <c r="F180" s="11" t="s">
        <v>25</v>
      </c>
      <c r="G180" s="11" t="n">
        <v>24</v>
      </c>
      <c r="H180" s="12" t="s">
        <v>77</v>
      </c>
      <c r="I180" s="12" t="s">
        <v>78</v>
      </c>
      <c r="J180" s="12" t="s">
        <v>79</v>
      </c>
      <c r="K180" s="12" t="s">
        <v>134</v>
      </c>
      <c r="L180" s="12" t="s">
        <v>667</v>
      </c>
      <c r="M180" s="11" t="n">
        <v>1</v>
      </c>
      <c r="N180" s="13" t="n">
        <v>9.33</v>
      </c>
      <c r="O180" s="14" t="n">
        <v>0</v>
      </c>
      <c r="P180" s="13" t="n">
        <v>9.33</v>
      </c>
      <c r="Q180" s="13" t="n">
        <v>5.55</v>
      </c>
      <c r="R180" s="12" t="s">
        <v>144</v>
      </c>
      <c r="S180" s="12" t="s">
        <v>96</v>
      </c>
    </row>
    <row r="181" customFormat="false" ht="15" hidden="false" customHeight="true" outlineLevel="0" collapsed="false">
      <c r="A181" s="7" t="s">
        <v>668</v>
      </c>
      <c r="B181" s="8" t="s">
        <v>655</v>
      </c>
      <c r="C181" s="8" t="s">
        <v>669</v>
      </c>
      <c r="D181" s="8" t="s">
        <v>148</v>
      </c>
      <c r="E181" s="7" t="s">
        <v>641</v>
      </c>
      <c r="F181" s="7" t="s">
        <v>25</v>
      </c>
      <c r="G181" s="7" t="n">
        <v>18</v>
      </c>
      <c r="H181" s="8" t="s">
        <v>266</v>
      </c>
      <c r="I181" s="8" t="s">
        <v>78</v>
      </c>
      <c r="J181" s="8" t="s">
        <v>79</v>
      </c>
      <c r="K181" s="8" t="s">
        <v>29</v>
      </c>
      <c r="L181" s="8" t="s">
        <v>605</v>
      </c>
      <c r="M181" s="7" t="n">
        <v>7</v>
      </c>
      <c r="N181" s="9" t="n">
        <v>74.2</v>
      </c>
      <c r="O181" s="10" t="n">
        <v>0</v>
      </c>
      <c r="P181" s="9" t="n">
        <v>519.42</v>
      </c>
      <c r="Q181" s="9" t="n">
        <v>234.15</v>
      </c>
      <c r="R181" s="8" t="s">
        <v>72</v>
      </c>
      <c r="S181" s="8" t="s">
        <v>41</v>
      </c>
    </row>
    <row r="182" customFormat="false" ht="15" hidden="false" customHeight="true" outlineLevel="0" collapsed="false">
      <c r="A182" s="11" t="s">
        <v>670</v>
      </c>
      <c r="B182" s="12" t="s">
        <v>130</v>
      </c>
      <c r="C182" s="12" t="s">
        <v>598</v>
      </c>
      <c r="D182" s="12" t="s">
        <v>438</v>
      </c>
      <c r="E182" s="11" t="s">
        <v>381</v>
      </c>
      <c r="F182" s="11" t="s">
        <v>25</v>
      </c>
      <c r="G182" s="11" t="n">
        <v>40</v>
      </c>
      <c r="H182" s="12" t="s">
        <v>176</v>
      </c>
      <c r="I182" s="12" t="s">
        <v>177</v>
      </c>
      <c r="J182" s="12" t="s">
        <v>50</v>
      </c>
      <c r="K182" s="12" t="s">
        <v>29</v>
      </c>
      <c r="L182" s="12" t="s">
        <v>240</v>
      </c>
      <c r="M182" s="11" t="n">
        <v>6</v>
      </c>
      <c r="N182" s="13" t="n">
        <v>70.45</v>
      </c>
      <c r="O182" s="14" t="n">
        <v>0.2</v>
      </c>
      <c r="P182" s="13" t="n">
        <v>338.17</v>
      </c>
      <c r="Q182" s="13" t="n">
        <v>137.73</v>
      </c>
      <c r="R182" s="12" t="s">
        <v>53</v>
      </c>
      <c r="S182" s="12" t="s">
        <v>73</v>
      </c>
    </row>
    <row r="183" customFormat="false" ht="15" hidden="false" customHeight="true" outlineLevel="0" collapsed="false">
      <c r="A183" s="7" t="s">
        <v>671</v>
      </c>
      <c r="B183" s="8" t="s">
        <v>576</v>
      </c>
      <c r="C183" s="8" t="s">
        <v>672</v>
      </c>
      <c r="D183" s="8" t="s">
        <v>168</v>
      </c>
      <c r="E183" s="7" t="s">
        <v>175</v>
      </c>
      <c r="F183" s="7" t="s">
        <v>47</v>
      </c>
      <c r="G183" s="7" t="n">
        <v>40</v>
      </c>
      <c r="H183" s="8" t="s">
        <v>26</v>
      </c>
      <c r="I183" s="8" t="s">
        <v>27</v>
      </c>
      <c r="J183" s="8" t="s">
        <v>28</v>
      </c>
      <c r="K183" s="8" t="s">
        <v>51</v>
      </c>
      <c r="L183" s="8" t="s">
        <v>52</v>
      </c>
      <c r="M183" s="7" t="n">
        <v>6</v>
      </c>
      <c r="N183" s="9" t="n">
        <v>779.8</v>
      </c>
      <c r="O183" s="10" t="n">
        <v>0.05</v>
      </c>
      <c r="P183" s="9" t="n">
        <v>4444.89</v>
      </c>
      <c r="Q183" s="9" t="n">
        <v>1089.07</v>
      </c>
      <c r="R183" s="8" t="s">
        <v>31</v>
      </c>
      <c r="S183" s="8" t="s">
        <v>80</v>
      </c>
    </row>
    <row r="184" customFormat="false" ht="15" hidden="false" customHeight="true" outlineLevel="0" collapsed="false">
      <c r="A184" s="11" t="s">
        <v>673</v>
      </c>
      <c r="B184" s="12" t="s">
        <v>21</v>
      </c>
      <c r="C184" s="12" t="s">
        <v>674</v>
      </c>
      <c r="D184" s="12" t="s">
        <v>76</v>
      </c>
      <c r="E184" s="11" t="s">
        <v>675</v>
      </c>
      <c r="F184" s="11" t="s">
        <v>25</v>
      </c>
      <c r="G184" s="11" t="n">
        <v>61</v>
      </c>
      <c r="H184" s="12" t="s">
        <v>141</v>
      </c>
      <c r="I184" s="12" t="s">
        <v>142</v>
      </c>
      <c r="J184" s="12" t="s">
        <v>88</v>
      </c>
      <c r="K184" s="12" t="s">
        <v>61</v>
      </c>
      <c r="L184" s="12" t="s">
        <v>401</v>
      </c>
      <c r="M184" s="11" t="n">
        <v>1</v>
      </c>
      <c r="N184" s="13" t="n">
        <v>234.81</v>
      </c>
      <c r="O184" s="14" t="n">
        <v>0</v>
      </c>
      <c r="P184" s="13" t="n">
        <v>234.81</v>
      </c>
      <c r="Q184" s="13" t="n">
        <v>60.79</v>
      </c>
      <c r="R184" s="12" t="s">
        <v>144</v>
      </c>
      <c r="S184" s="12" t="s">
        <v>41</v>
      </c>
    </row>
    <row r="185" customFormat="false" ht="15" hidden="false" customHeight="true" outlineLevel="0" collapsed="false">
      <c r="A185" s="7" t="s">
        <v>676</v>
      </c>
      <c r="B185" s="8" t="s">
        <v>677</v>
      </c>
      <c r="C185" s="8" t="s">
        <v>678</v>
      </c>
      <c r="D185" s="8" t="s">
        <v>290</v>
      </c>
      <c r="E185" s="7" t="s">
        <v>133</v>
      </c>
      <c r="F185" s="7" t="s">
        <v>25</v>
      </c>
      <c r="G185" s="7" t="n">
        <v>29</v>
      </c>
      <c r="H185" s="8" t="s">
        <v>59</v>
      </c>
      <c r="I185" s="8" t="s">
        <v>60</v>
      </c>
      <c r="J185" s="8" t="s">
        <v>50</v>
      </c>
      <c r="K185" s="8" t="s">
        <v>29</v>
      </c>
      <c r="L185" s="8" t="s">
        <v>39</v>
      </c>
      <c r="M185" s="7" t="n">
        <v>9</v>
      </c>
      <c r="N185" s="9" t="n">
        <v>30.62</v>
      </c>
      <c r="O185" s="10" t="n">
        <v>0.05</v>
      </c>
      <c r="P185" s="9" t="n">
        <v>261.77</v>
      </c>
      <c r="Q185" s="9" t="n">
        <v>88.8</v>
      </c>
      <c r="R185" s="8" t="s">
        <v>53</v>
      </c>
      <c r="S185" s="8" t="s">
        <v>32</v>
      </c>
    </row>
    <row r="186" customFormat="false" ht="15" hidden="false" customHeight="true" outlineLevel="0" collapsed="false">
      <c r="A186" s="11" t="s">
        <v>679</v>
      </c>
      <c r="B186" s="12" t="s">
        <v>680</v>
      </c>
      <c r="C186" s="12" t="s">
        <v>681</v>
      </c>
      <c r="D186" s="12" t="s">
        <v>36</v>
      </c>
      <c r="E186" s="11" t="s">
        <v>487</v>
      </c>
      <c r="F186" s="11" t="s">
        <v>25</v>
      </c>
      <c r="G186" s="11" t="n">
        <v>52</v>
      </c>
      <c r="H186" s="12" t="s">
        <v>149</v>
      </c>
      <c r="I186" s="12" t="s">
        <v>150</v>
      </c>
      <c r="J186" s="12" t="s">
        <v>50</v>
      </c>
      <c r="K186" s="12" t="s">
        <v>134</v>
      </c>
      <c r="L186" s="12" t="s">
        <v>667</v>
      </c>
      <c r="M186" s="11" t="n">
        <v>1</v>
      </c>
      <c r="N186" s="13" t="n">
        <v>9.06</v>
      </c>
      <c r="O186" s="14" t="n">
        <v>0</v>
      </c>
      <c r="P186" s="13" t="n">
        <v>9.06</v>
      </c>
      <c r="Q186" s="13" t="n">
        <v>4.54</v>
      </c>
      <c r="R186" s="12" t="s">
        <v>72</v>
      </c>
      <c r="S186" s="12" t="s">
        <v>96</v>
      </c>
    </row>
    <row r="187" customFormat="false" ht="15" hidden="false" customHeight="true" outlineLevel="0" collapsed="false">
      <c r="A187" s="7" t="s">
        <v>682</v>
      </c>
      <c r="B187" s="8" t="s">
        <v>683</v>
      </c>
      <c r="C187" s="8" t="s">
        <v>371</v>
      </c>
      <c r="D187" s="8" t="s">
        <v>442</v>
      </c>
      <c r="E187" s="7" t="s">
        <v>373</v>
      </c>
      <c r="F187" s="7" t="s">
        <v>47</v>
      </c>
      <c r="G187" s="7" t="n">
        <v>55</v>
      </c>
      <c r="H187" s="8" t="s">
        <v>163</v>
      </c>
      <c r="I187" s="8" t="s">
        <v>164</v>
      </c>
      <c r="J187" s="8" t="s">
        <v>79</v>
      </c>
      <c r="K187" s="8" t="s">
        <v>51</v>
      </c>
      <c r="L187" s="8" t="s">
        <v>127</v>
      </c>
      <c r="M187" s="7" t="n">
        <v>9</v>
      </c>
      <c r="N187" s="9" t="n">
        <v>309.09</v>
      </c>
      <c r="O187" s="10" t="n">
        <v>0</v>
      </c>
      <c r="P187" s="9" t="n">
        <v>2781.82</v>
      </c>
      <c r="Q187" s="9" t="n">
        <v>635.74</v>
      </c>
      <c r="R187" s="8" t="s">
        <v>72</v>
      </c>
      <c r="S187" s="8" t="s">
        <v>96</v>
      </c>
    </row>
    <row r="188" customFormat="false" ht="15" hidden="false" customHeight="true" outlineLevel="0" collapsed="false">
      <c r="A188" s="11" t="s">
        <v>684</v>
      </c>
      <c r="B188" s="12" t="s">
        <v>489</v>
      </c>
      <c r="C188" s="12" t="s">
        <v>685</v>
      </c>
      <c r="D188" s="12" t="s">
        <v>296</v>
      </c>
      <c r="E188" s="11" t="s">
        <v>487</v>
      </c>
      <c r="F188" s="11" t="s">
        <v>47</v>
      </c>
      <c r="G188" s="11" t="n">
        <v>25</v>
      </c>
      <c r="H188" s="12" t="s">
        <v>369</v>
      </c>
      <c r="I188" s="12" t="s">
        <v>164</v>
      </c>
      <c r="J188" s="12" t="s">
        <v>79</v>
      </c>
      <c r="K188" s="12" t="s">
        <v>104</v>
      </c>
      <c r="L188" s="12" t="s">
        <v>151</v>
      </c>
      <c r="M188" s="11" t="n">
        <v>10</v>
      </c>
      <c r="N188" s="13" t="n">
        <v>48.61</v>
      </c>
      <c r="O188" s="14" t="n">
        <v>0</v>
      </c>
      <c r="P188" s="13" t="n">
        <v>486.15</v>
      </c>
      <c r="Q188" s="13" t="n">
        <v>188.93</v>
      </c>
      <c r="R188" s="12" t="s">
        <v>72</v>
      </c>
      <c r="S188" s="12" t="s">
        <v>54</v>
      </c>
    </row>
    <row r="189" customFormat="false" ht="15" hidden="false" customHeight="true" outlineLevel="0" collapsed="false">
      <c r="A189" s="7" t="s">
        <v>686</v>
      </c>
      <c r="B189" s="8" t="s">
        <v>130</v>
      </c>
      <c r="C189" s="8" t="s">
        <v>687</v>
      </c>
      <c r="D189" s="8" t="s">
        <v>688</v>
      </c>
      <c r="E189" s="7" t="s">
        <v>272</v>
      </c>
      <c r="F189" s="7" t="s">
        <v>25</v>
      </c>
      <c r="G189" s="7" t="n">
        <v>49</v>
      </c>
      <c r="H189" s="8" t="s">
        <v>266</v>
      </c>
      <c r="I189" s="8" t="s">
        <v>78</v>
      </c>
      <c r="J189" s="8" t="s">
        <v>79</v>
      </c>
      <c r="K189" s="8" t="s">
        <v>134</v>
      </c>
      <c r="L189" s="8" t="s">
        <v>191</v>
      </c>
      <c r="M189" s="7" t="n">
        <v>7</v>
      </c>
      <c r="N189" s="9" t="n">
        <v>45.86</v>
      </c>
      <c r="O189" s="10" t="n">
        <v>0.05</v>
      </c>
      <c r="P189" s="9" t="n">
        <v>305</v>
      </c>
      <c r="Q189" s="9" t="n">
        <v>176.84</v>
      </c>
      <c r="R189" s="8" t="s">
        <v>106</v>
      </c>
      <c r="S189" s="8" t="s">
        <v>54</v>
      </c>
    </row>
    <row r="190" customFormat="false" ht="15" hidden="false" customHeight="true" outlineLevel="0" collapsed="false">
      <c r="A190" s="11" t="s">
        <v>689</v>
      </c>
      <c r="B190" s="12" t="s">
        <v>246</v>
      </c>
      <c r="C190" s="12" t="s">
        <v>690</v>
      </c>
      <c r="D190" s="12" t="s">
        <v>233</v>
      </c>
      <c r="E190" s="11" t="s">
        <v>221</v>
      </c>
      <c r="F190" s="11" t="s">
        <v>47</v>
      </c>
      <c r="G190" s="11" t="n">
        <v>44</v>
      </c>
      <c r="H190" s="12" t="s">
        <v>69</v>
      </c>
      <c r="I190" s="12" t="s">
        <v>70</v>
      </c>
      <c r="J190" s="12" t="s">
        <v>50</v>
      </c>
      <c r="K190" s="12" t="s">
        <v>29</v>
      </c>
      <c r="L190" s="12" t="s">
        <v>605</v>
      </c>
      <c r="M190" s="11" t="n">
        <v>1</v>
      </c>
      <c r="N190" s="13" t="n">
        <v>62.63</v>
      </c>
      <c r="O190" s="14" t="n">
        <v>0</v>
      </c>
      <c r="P190" s="13" t="n">
        <v>62.63</v>
      </c>
      <c r="Q190" s="13" t="n">
        <v>26.8</v>
      </c>
      <c r="R190" s="12" t="s">
        <v>53</v>
      </c>
      <c r="S190" s="12" t="s">
        <v>80</v>
      </c>
    </row>
    <row r="191" customFormat="false" ht="15" hidden="false" customHeight="true" outlineLevel="0" collapsed="false">
      <c r="A191" s="7" t="s">
        <v>691</v>
      </c>
      <c r="B191" s="8" t="s">
        <v>257</v>
      </c>
      <c r="C191" s="8" t="s">
        <v>232</v>
      </c>
      <c r="D191" s="8" t="s">
        <v>423</v>
      </c>
      <c r="E191" s="7" t="s">
        <v>228</v>
      </c>
      <c r="F191" s="7" t="s">
        <v>47</v>
      </c>
      <c r="G191" s="7" t="n">
        <v>54</v>
      </c>
      <c r="H191" s="8" t="s">
        <v>184</v>
      </c>
      <c r="I191" s="8" t="s">
        <v>185</v>
      </c>
      <c r="J191" s="8" t="s">
        <v>88</v>
      </c>
      <c r="K191" s="8" t="s">
        <v>51</v>
      </c>
      <c r="L191" s="8" t="s">
        <v>217</v>
      </c>
      <c r="M191" s="7" t="n">
        <v>5</v>
      </c>
      <c r="N191" s="9" t="n">
        <v>2761.85</v>
      </c>
      <c r="O191" s="10" t="n">
        <v>0</v>
      </c>
      <c r="P191" s="9" t="n">
        <v>13809.25</v>
      </c>
      <c r="Q191" s="9" t="n">
        <v>3083.74</v>
      </c>
      <c r="R191" s="8" t="s">
        <v>40</v>
      </c>
      <c r="S191" s="8" t="s">
        <v>120</v>
      </c>
    </row>
    <row r="192" customFormat="false" ht="15" hidden="false" customHeight="true" outlineLevel="0" collapsed="false">
      <c r="A192" s="11" t="s">
        <v>692</v>
      </c>
      <c r="B192" s="12" t="s">
        <v>693</v>
      </c>
      <c r="C192" s="12" t="s">
        <v>595</v>
      </c>
      <c r="D192" s="12" t="s">
        <v>430</v>
      </c>
      <c r="E192" s="11" t="s">
        <v>421</v>
      </c>
      <c r="F192" s="11" t="s">
        <v>25</v>
      </c>
      <c r="G192" s="11" t="n">
        <v>45</v>
      </c>
      <c r="H192" s="12" t="s">
        <v>77</v>
      </c>
      <c r="I192" s="12" t="s">
        <v>78</v>
      </c>
      <c r="J192" s="12" t="s">
        <v>79</v>
      </c>
      <c r="K192" s="12" t="s">
        <v>51</v>
      </c>
      <c r="L192" s="12" t="s">
        <v>127</v>
      </c>
      <c r="M192" s="11" t="n">
        <v>6</v>
      </c>
      <c r="N192" s="13" t="n">
        <v>266.7</v>
      </c>
      <c r="O192" s="14" t="n">
        <v>0.2</v>
      </c>
      <c r="P192" s="13" t="n">
        <v>1280.18</v>
      </c>
      <c r="Q192" s="13" t="n">
        <v>230</v>
      </c>
      <c r="R192" s="12" t="s">
        <v>144</v>
      </c>
      <c r="S192" s="12" t="s">
        <v>41</v>
      </c>
    </row>
    <row r="193" customFormat="false" ht="15" hidden="false" customHeight="true" outlineLevel="0" collapsed="false">
      <c r="A193" s="7" t="s">
        <v>694</v>
      </c>
      <c r="B193" s="8" t="s">
        <v>263</v>
      </c>
      <c r="C193" s="8" t="s">
        <v>695</v>
      </c>
      <c r="D193" s="8" t="s">
        <v>296</v>
      </c>
      <c r="E193" s="7" t="s">
        <v>198</v>
      </c>
      <c r="F193" s="7" t="s">
        <v>25</v>
      </c>
      <c r="G193" s="7" t="n">
        <v>65</v>
      </c>
      <c r="H193" s="8" t="s">
        <v>69</v>
      </c>
      <c r="I193" s="8" t="s">
        <v>70</v>
      </c>
      <c r="J193" s="8" t="s">
        <v>50</v>
      </c>
      <c r="K193" s="8" t="s">
        <v>134</v>
      </c>
      <c r="L193" s="8" t="s">
        <v>267</v>
      </c>
      <c r="M193" s="7" t="n">
        <v>2</v>
      </c>
      <c r="N193" s="9" t="n">
        <v>22.56</v>
      </c>
      <c r="O193" s="10" t="n">
        <v>0</v>
      </c>
      <c r="P193" s="9" t="n">
        <v>45.13</v>
      </c>
      <c r="Q193" s="9" t="n">
        <v>27.56</v>
      </c>
      <c r="R193" s="8" t="s">
        <v>144</v>
      </c>
      <c r="S193" s="8" t="s">
        <v>96</v>
      </c>
    </row>
    <row r="194" customFormat="false" ht="15" hidden="false" customHeight="true" outlineLevel="0" collapsed="false">
      <c r="A194" s="11" t="s">
        <v>696</v>
      </c>
      <c r="B194" s="12" t="s">
        <v>697</v>
      </c>
      <c r="C194" s="12" t="s">
        <v>698</v>
      </c>
      <c r="D194" s="12" t="s">
        <v>412</v>
      </c>
      <c r="E194" s="11" t="s">
        <v>365</v>
      </c>
      <c r="F194" s="11" t="s">
        <v>47</v>
      </c>
      <c r="G194" s="11" t="n">
        <v>52</v>
      </c>
      <c r="H194" s="12" t="s">
        <v>125</v>
      </c>
      <c r="I194" s="12" t="s">
        <v>126</v>
      </c>
      <c r="J194" s="12" t="s">
        <v>88</v>
      </c>
      <c r="K194" s="12" t="s">
        <v>112</v>
      </c>
      <c r="L194" s="12" t="s">
        <v>505</v>
      </c>
      <c r="M194" s="11" t="n">
        <v>10</v>
      </c>
      <c r="N194" s="13" t="n">
        <v>13.59</v>
      </c>
      <c r="O194" s="14" t="n">
        <v>0</v>
      </c>
      <c r="P194" s="13" t="n">
        <v>135.85</v>
      </c>
      <c r="Q194" s="13" t="n">
        <v>91.73</v>
      </c>
      <c r="R194" s="12" t="s">
        <v>40</v>
      </c>
      <c r="S194" s="12" t="s">
        <v>120</v>
      </c>
    </row>
    <row r="195" customFormat="false" ht="15" hidden="false" customHeight="true" outlineLevel="0" collapsed="false">
      <c r="A195" s="7" t="s">
        <v>699</v>
      </c>
      <c r="B195" s="8" t="s">
        <v>700</v>
      </c>
      <c r="C195" s="8" t="s">
        <v>579</v>
      </c>
      <c r="D195" s="8" t="s">
        <v>57</v>
      </c>
      <c r="E195" s="7" t="s">
        <v>557</v>
      </c>
      <c r="F195" s="7" t="s">
        <v>25</v>
      </c>
      <c r="G195" s="7" t="n">
        <v>44</v>
      </c>
      <c r="H195" s="8" t="s">
        <v>141</v>
      </c>
      <c r="I195" s="8" t="s">
        <v>142</v>
      </c>
      <c r="J195" s="8" t="s">
        <v>88</v>
      </c>
      <c r="K195" s="8" t="s">
        <v>112</v>
      </c>
      <c r="L195" s="8" t="s">
        <v>280</v>
      </c>
      <c r="M195" s="7" t="n">
        <v>10</v>
      </c>
      <c r="N195" s="9" t="n">
        <v>17.22</v>
      </c>
      <c r="O195" s="10" t="n">
        <v>0.2</v>
      </c>
      <c r="P195" s="9" t="n">
        <v>137.8</v>
      </c>
      <c r="Q195" s="9" t="n">
        <v>83.16</v>
      </c>
      <c r="R195" s="8" t="s">
        <v>72</v>
      </c>
      <c r="S195" s="8" t="s">
        <v>54</v>
      </c>
    </row>
    <row r="196" customFormat="false" ht="15" hidden="false" customHeight="true" outlineLevel="0" collapsed="false">
      <c r="A196" s="11" t="s">
        <v>701</v>
      </c>
      <c r="B196" s="12" t="s">
        <v>193</v>
      </c>
      <c r="C196" s="12" t="s">
        <v>496</v>
      </c>
      <c r="D196" s="12" t="s">
        <v>94</v>
      </c>
      <c r="E196" s="11" t="s">
        <v>140</v>
      </c>
      <c r="F196" s="11" t="s">
        <v>47</v>
      </c>
      <c r="G196" s="11" t="n">
        <v>58</v>
      </c>
      <c r="H196" s="12" t="s">
        <v>59</v>
      </c>
      <c r="I196" s="12" t="s">
        <v>60</v>
      </c>
      <c r="J196" s="12" t="s">
        <v>50</v>
      </c>
      <c r="K196" s="12" t="s">
        <v>104</v>
      </c>
      <c r="L196" s="12" t="s">
        <v>213</v>
      </c>
      <c r="M196" s="11" t="n">
        <v>4</v>
      </c>
      <c r="N196" s="13" t="n">
        <v>28.86</v>
      </c>
      <c r="O196" s="14" t="n">
        <v>0.15</v>
      </c>
      <c r="P196" s="13" t="n">
        <v>98.14</v>
      </c>
      <c r="Q196" s="13" t="n">
        <v>39.45</v>
      </c>
      <c r="R196" s="12" t="s">
        <v>53</v>
      </c>
      <c r="S196" s="12" t="s">
        <v>80</v>
      </c>
    </row>
    <row r="197" customFormat="false" ht="15" hidden="false" customHeight="true" outlineLevel="0" collapsed="false">
      <c r="A197" s="7" t="s">
        <v>702</v>
      </c>
      <c r="B197" s="8" t="s">
        <v>350</v>
      </c>
      <c r="C197" s="8" t="s">
        <v>503</v>
      </c>
      <c r="D197" s="8" t="s">
        <v>73</v>
      </c>
      <c r="E197" s="7" t="s">
        <v>703</v>
      </c>
      <c r="F197" s="7" t="s">
        <v>47</v>
      </c>
      <c r="G197" s="7" t="n">
        <v>55</v>
      </c>
      <c r="H197" s="8" t="s">
        <v>348</v>
      </c>
      <c r="I197" s="8" t="s">
        <v>164</v>
      </c>
      <c r="J197" s="8" t="s">
        <v>79</v>
      </c>
      <c r="K197" s="8" t="s">
        <v>51</v>
      </c>
      <c r="L197" s="8" t="s">
        <v>89</v>
      </c>
      <c r="M197" s="7" t="n">
        <v>5</v>
      </c>
      <c r="N197" s="9" t="n">
        <v>451.15</v>
      </c>
      <c r="O197" s="10" t="n">
        <v>0</v>
      </c>
      <c r="P197" s="9" t="n">
        <v>2255.76</v>
      </c>
      <c r="Q197" s="9" t="n">
        <v>487.27</v>
      </c>
      <c r="R197" s="8" t="s">
        <v>144</v>
      </c>
      <c r="S197" s="8" t="s">
        <v>73</v>
      </c>
    </row>
    <row r="198" customFormat="false" ht="15" hidden="false" customHeight="true" outlineLevel="0" collapsed="false">
      <c r="A198" s="11" t="s">
        <v>704</v>
      </c>
      <c r="B198" s="12" t="s">
        <v>489</v>
      </c>
      <c r="C198" s="12" t="s">
        <v>335</v>
      </c>
      <c r="D198" s="12" t="s">
        <v>357</v>
      </c>
      <c r="E198" s="11" t="s">
        <v>272</v>
      </c>
      <c r="F198" s="11" t="s">
        <v>47</v>
      </c>
      <c r="G198" s="11" t="n">
        <v>38</v>
      </c>
      <c r="H198" s="12" t="s">
        <v>156</v>
      </c>
      <c r="I198" s="12" t="s">
        <v>157</v>
      </c>
      <c r="J198" s="12" t="s">
        <v>28</v>
      </c>
      <c r="K198" s="12" t="s">
        <v>112</v>
      </c>
      <c r="L198" s="12" t="s">
        <v>113</v>
      </c>
      <c r="M198" s="11" t="n">
        <v>9</v>
      </c>
      <c r="N198" s="13" t="n">
        <v>25.23</v>
      </c>
      <c r="O198" s="14" t="n">
        <v>0.05</v>
      </c>
      <c r="P198" s="13" t="n">
        <v>215.69</v>
      </c>
      <c r="Q198" s="13" t="n">
        <v>146.23</v>
      </c>
      <c r="R198" s="12" t="s">
        <v>72</v>
      </c>
      <c r="S198" s="12" t="s">
        <v>120</v>
      </c>
    </row>
    <row r="199" customFormat="false" ht="15" hidden="false" customHeight="true" outlineLevel="0" collapsed="false">
      <c r="A199" s="7" t="s">
        <v>705</v>
      </c>
      <c r="B199" s="8" t="s">
        <v>706</v>
      </c>
      <c r="C199" s="8" t="s">
        <v>593</v>
      </c>
      <c r="D199" s="8" t="s">
        <v>202</v>
      </c>
      <c r="E199" s="7" t="s">
        <v>101</v>
      </c>
      <c r="F199" s="7" t="s">
        <v>25</v>
      </c>
      <c r="G199" s="7" t="n">
        <v>25</v>
      </c>
      <c r="H199" s="8" t="s">
        <v>59</v>
      </c>
      <c r="I199" s="8" t="s">
        <v>60</v>
      </c>
      <c r="J199" s="8" t="s">
        <v>50</v>
      </c>
      <c r="K199" s="8" t="s">
        <v>29</v>
      </c>
      <c r="L199" s="8" t="s">
        <v>30</v>
      </c>
      <c r="M199" s="7" t="n">
        <v>1</v>
      </c>
      <c r="N199" s="9" t="n">
        <v>78.15</v>
      </c>
      <c r="O199" s="10" t="n">
        <v>0.15</v>
      </c>
      <c r="P199" s="9" t="n">
        <v>66.43</v>
      </c>
      <c r="Q199" s="9" t="n">
        <v>28.11</v>
      </c>
      <c r="R199" s="8" t="s">
        <v>53</v>
      </c>
      <c r="S199" s="8" t="s">
        <v>80</v>
      </c>
    </row>
    <row r="200" customFormat="false" ht="15" hidden="false" customHeight="true" outlineLevel="0" collapsed="false">
      <c r="A200" s="11" t="s">
        <v>707</v>
      </c>
      <c r="B200" s="12" t="s">
        <v>479</v>
      </c>
      <c r="C200" s="12" t="s">
        <v>708</v>
      </c>
      <c r="D200" s="12" t="s">
        <v>420</v>
      </c>
      <c r="E200" s="11" t="s">
        <v>352</v>
      </c>
      <c r="F200" s="11" t="s">
        <v>47</v>
      </c>
      <c r="G200" s="11" t="n">
        <v>23</v>
      </c>
      <c r="H200" s="12" t="s">
        <v>141</v>
      </c>
      <c r="I200" s="12" t="s">
        <v>142</v>
      </c>
      <c r="J200" s="12" t="s">
        <v>88</v>
      </c>
      <c r="K200" s="12" t="s">
        <v>104</v>
      </c>
      <c r="L200" s="12" t="s">
        <v>213</v>
      </c>
      <c r="M200" s="11" t="n">
        <v>3</v>
      </c>
      <c r="N200" s="13" t="n">
        <v>29.99</v>
      </c>
      <c r="O200" s="14" t="n">
        <v>0</v>
      </c>
      <c r="P200" s="13" t="n">
        <v>89.98</v>
      </c>
      <c r="Q200" s="13" t="n">
        <v>31.64</v>
      </c>
      <c r="R200" s="12" t="s">
        <v>144</v>
      </c>
      <c r="S200" s="12" t="s">
        <v>54</v>
      </c>
    </row>
    <row r="201" customFormat="false" ht="15" hidden="false" customHeight="true" outlineLevel="0" collapsed="false">
      <c r="A201" s="7" t="s">
        <v>709</v>
      </c>
      <c r="B201" s="8" t="s">
        <v>544</v>
      </c>
      <c r="C201" s="8" t="s">
        <v>624</v>
      </c>
      <c r="D201" s="8" t="s">
        <v>410</v>
      </c>
      <c r="E201" s="7" t="s">
        <v>710</v>
      </c>
      <c r="F201" s="7" t="s">
        <v>47</v>
      </c>
      <c r="G201" s="7" t="n">
        <v>22</v>
      </c>
      <c r="H201" s="8" t="s">
        <v>184</v>
      </c>
      <c r="I201" s="8" t="s">
        <v>185</v>
      </c>
      <c r="J201" s="8" t="s">
        <v>88</v>
      </c>
      <c r="K201" s="8" t="s">
        <v>112</v>
      </c>
      <c r="L201" s="8" t="s">
        <v>280</v>
      </c>
      <c r="M201" s="7" t="n">
        <v>7</v>
      </c>
      <c r="N201" s="9" t="n">
        <v>20.02</v>
      </c>
      <c r="O201" s="10" t="n">
        <v>0.15</v>
      </c>
      <c r="P201" s="9" t="n">
        <v>119.12</v>
      </c>
      <c r="Q201" s="9" t="n">
        <v>59.9</v>
      </c>
      <c r="R201" s="8" t="s">
        <v>40</v>
      </c>
      <c r="S201" s="8" t="s">
        <v>41</v>
      </c>
    </row>
    <row r="202" customFormat="false" ht="15" hidden="false" customHeight="true" outlineLevel="0" collapsed="false">
      <c r="A202" s="11" t="s">
        <v>711</v>
      </c>
      <c r="B202" s="12" t="s">
        <v>131</v>
      </c>
      <c r="C202" s="12" t="s">
        <v>573</v>
      </c>
      <c r="D202" s="12" t="s">
        <v>252</v>
      </c>
      <c r="E202" s="11" t="s">
        <v>712</v>
      </c>
      <c r="F202" s="11" t="s">
        <v>47</v>
      </c>
      <c r="G202" s="11" t="n">
        <v>22</v>
      </c>
      <c r="H202" s="12" t="s">
        <v>119</v>
      </c>
      <c r="I202" s="12" t="s">
        <v>119</v>
      </c>
      <c r="J202" s="12" t="s">
        <v>28</v>
      </c>
      <c r="K202" s="12" t="s">
        <v>134</v>
      </c>
      <c r="L202" s="12" t="s">
        <v>207</v>
      </c>
      <c r="M202" s="11" t="n">
        <v>6</v>
      </c>
      <c r="N202" s="13" t="n">
        <v>17.65</v>
      </c>
      <c r="O202" s="14" t="n">
        <v>0.2</v>
      </c>
      <c r="P202" s="13" t="n">
        <v>84.73</v>
      </c>
      <c r="Q202" s="13" t="n">
        <v>45.15</v>
      </c>
      <c r="R202" s="12" t="s">
        <v>53</v>
      </c>
      <c r="S202" s="12" t="s">
        <v>73</v>
      </c>
    </row>
    <row r="203" customFormat="false" ht="15" hidden="false" customHeight="true" outlineLevel="0" collapsed="false">
      <c r="A203" s="7" t="s">
        <v>713</v>
      </c>
      <c r="B203" s="8" t="s">
        <v>714</v>
      </c>
      <c r="C203" s="8" t="s">
        <v>715</v>
      </c>
      <c r="D203" s="8" t="s">
        <v>515</v>
      </c>
      <c r="E203" s="7" t="s">
        <v>716</v>
      </c>
      <c r="F203" s="7" t="s">
        <v>25</v>
      </c>
      <c r="G203" s="7" t="n">
        <v>22</v>
      </c>
      <c r="H203" s="8" t="s">
        <v>141</v>
      </c>
      <c r="I203" s="8" t="s">
        <v>142</v>
      </c>
      <c r="J203" s="8" t="s">
        <v>88</v>
      </c>
      <c r="K203" s="8" t="s">
        <v>61</v>
      </c>
      <c r="L203" s="8" t="s">
        <v>404</v>
      </c>
      <c r="M203" s="7" t="n">
        <v>3</v>
      </c>
      <c r="N203" s="9" t="n">
        <v>120.37</v>
      </c>
      <c r="O203" s="10" t="n">
        <v>0.2</v>
      </c>
      <c r="P203" s="9" t="n">
        <v>288.89</v>
      </c>
      <c r="Q203" s="9" t="n">
        <v>101.81</v>
      </c>
      <c r="R203" s="8" t="s">
        <v>40</v>
      </c>
      <c r="S203" s="8" t="s">
        <v>32</v>
      </c>
    </row>
    <row r="204" customFormat="false" ht="15" hidden="false" customHeight="true" outlineLevel="0" collapsed="false">
      <c r="A204" s="11" t="s">
        <v>717</v>
      </c>
      <c r="B204" s="12" t="s">
        <v>562</v>
      </c>
      <c r="C204" s="12" t="s">
        <v>355</v>
      </c>
      <c r="D204" s="12" t="s">
        <v>442</v>
      </c>
      <c r="E204" s="11" t="s">
        <v>291</v>
      </c>
      <c r="F204" s="11" t="s">
        <v>47</v>
      </c>
      <c r="G204" s="11" t="n">
        <v>31</v>
      </c>
      <c r="H204" s="12" t="s">
        <v>69</v>
      </c>
      <c r="I204" s="12" t="s">
        <v>70</v>
      </c>
      <c r="J204" s="12" t="s">
        <v>50</v>
      </c>
      <c r="K204" s="12" t="s">
        <v>104</v>
      </c>
      <c r="L204" s="12" t="s">
        <v>574</v>
      </c>
      <c r="M204" s="11" t="n">
        <v>4</v>
      </c>
      <c r="N204" s="13" t="n">
        <v>132.15</v>
      </c>
      <c r="O204" s="14" t="n">
        <v>0</v>
      </c>
      <c r="P204" s="13" t="n">
        <v>528.59</v>
      </c>
      <c r="Q204" s="13" t="n">
        <v>259.3</v>
      </c>
      <c r="R204" s="12" t="s">
        <v>31</v>
      </c>
      <c r="S204" s="12" t="s">
        <v>54</v>
      </c>
    </row>
    <row r="205" customFormat="false" ht="15" hidden="false" customHeight="true" outlineLevel="0" collapsed="false">
      <c r="A205" s="7" t="s">
        <v>718</v>
      </c>
      <c r="B205" s="8" t="s">
        <v>719</v>
      </c>
      <c r="C205" s="8" t="s">
        <v>66</v>
      </c>
      <c r="D205" s="8" t="s">
        <v>647</v>
      </c>
      <c r="E205" s="7" t="s">
        <v>720</v>
      </c>
      <c r="F205" s="7" t="s">
        <v>25</v>
      </c>
      <c r="G205" s="7" t="n">
        <v>53</v>
      </c>
      <c r="H205" s="8" t="s">
        <v>69</v>
      </c>
      <c r="I205" s="8" t="s">
        <v>70</v>
      </c>
      <c r="J205" s="8" t="s">
        <v>50</v>
      </c>
      <c r="K205" s="8" t="s">
        <v>112</v>
      </c>
      <c r="L205" s="8" t="s">
        <v>505</v>
      </c>
      <c r="M205" s="7" t="n">
        <v>7</v>
      </c>
      <c r="N205" s="9" t="n">
        <v>14.64</v>
      </c>
      <c r="O205" s="10" t="n">
        <v>0</v>
      </c>
      <c r="P205" s="9" t="n">
        <v>102.46</v>
      </c>
      <c r="Q205" s="9" t="n">
        <v>55.27</v>
      </c>
      <c r="R205" s="8" t="s">
        <v>40</v>
      </c>
      <c r="S205" s="8" t="s">
        <v>128</v>
      </c>
    </row>
    <row r="206" customFormat="false" ht="15" hidden="false" customHeight="true" outlineLevel="0" collapsed="false">
      <c r="A206" s="11" t="s">
        <v>721</v>
      </c>
      <c r="B206" s="12" t="s">
        <v>227</v>
      </c>
      <c r="C206" s="12" t="s">
        <v>672</v>
      </c>
      <c r="D206" s="12" t="s">
        <v>336</v>
      </c>
      <c r="E206" s="11" t="s">
        <v>722</v>
      </c>
      <c r="F206" s="11" t="s">
        <v>47</v>
      </c>
      <c r="G206" s="11" t="n">
        <v>59</v>
      </c>
      <c r="H206" s="12" t="s">
        <v>141</v>
      </c>
      <c r="I206" s="12" t="s">
        <v>142</v>
      </c>
      <c r="J206" s="12" t="s">
        <v>88</v>
      </c>
      <c r="K206" s="12" t="s">
        <v>112</v>
      </c>
      <c r="L206" s="12" t="s">
        <v>170</v>
      </c>
      <c r="M206" s="11" t="n">
        <v>4</v>
      </c>
      <c r="N206" s="13" t="n">
        <v>21.14</v>
      </c>
      <c r="O206" s="14" t="n">
        <v>0.1</v>
      </c>
      <c r="P206" s="13" t="n">
        <v>76.11</v>
      </c>
      <c r="Q206" s="13" t="n">
        <v>39.98</v>
      </c>
      <c r="R206" s="12" t="s">
        <v>106</v>
      </c>
      <c r="S206" s="12" t="s">
        <v>80</v>
      </c>
    </row>
    <row r="207" customFormat="false" ht="15" hidden="false" customHeight="true" outlineLevel="0" collapsed="false">
      <c r="A207" s="7" t="s">
        <v>723</v>
      </c>
      <c r="B207" s="8" t="s">
        <v>724</v>
      </c>
      <c r="C207" s="8" t="s">
        <v>725</v>
      </c>
      <c r="D207" s="8" t="s">
        <v>317</v>
      </c>
      <c r="E207" s="7" t="s">
        <v>337</v>
      </c>
      <c r="F207" s="7" t="s">
        <v>25</v>
      </c>
      <c r="G207" s="7" t="n">
        <v>42</v>
      </c>
      <c r="H207" s="8" t="s">
        <v>369</v>
      </c>
      <c r="I207" s="8" t="s">
        <v>164</v>
      </c>
      <c r="J207" s="8" t="s">
        <v>79</v>
      </c>
      <c r="K207" s="8" t="s">
        <v>104</v>
      </c>
      <c r="L207" s="8" t="s">
        <v>574</v>
      </c>
      <c r="M207" s="7" t="n">
        <v>2</v>
      </c>
      <c r="N207" s="9" t="n">
        <v>127.36</v>
      </c>
      <c r="O207" s="10" t="n">
        <v>0</v>
      </c>
      <c r="P207" s="9" t="n">
        <v>254.72</v>
      </c>
      <c r="Q207" s="9" t="n">
        <v>127.82</v>
      </c>
      <c r="R207" s="8" t="s">
        <v>53</v>
      </c>
      <c r="S207" s="8" t="s">
        <v>96</v>
      </c>
    </row>
    <row r="208" customFormat="false" ht="15" hidden="false" customHeight="true" outlineLevel="0" collapsed="false">
      <c r="A208" s="11" t="s">
        <v>726</v>
      </c>
      <c r="B208" s="12" t="s">
        <v>628</v>
      </c>
      <c r="C208" s="12" t="s">
        <v>309</v>
      </c>
      <c r="D208" s="12" t="s">
        <v>501</v>
      </c>
      <c r="E208" s="11" t="s">
        <v>302</v>
      </c>
      <c r="F208" s="11" t="s">
        <v>25</v>
      </c>
      <c r="G208" s="11" t="n">
        <v>43</v>
      </c>
      <c r="H208" s="12" t="s">
        <v>156</v>
      </c>
      <c r="I208" s="12" t="s">
        <v>157</v>
      </c>
      <c r="J208" s="12" t="s">
        <v>28</v>
      </c>
      <c r="K208" s="12" t="s">
        <v>104</v>
      </c>
      <c r="L208" s="12" t="s">
        <v>574</v>
      </c>
      <c r="M208" s="11" t="n">
        <v>1</v>
      </c>
      <c r="N208" s="13" t="n">
        <v>130.19</v>
      </c>
      <c r="O208" s="14" t="n">
        <v>0</v>
      </c>
      <c r="P208" s="13" t="n">
        <v>130.19</v>
      </c>
      <c r="Q208" s="13" t="n">
        <v>49.48</v>
      </c>
      <c r="R208" s="12" t="s">
        <v>72</v>
      </c>
      <c r="S208" s="12" t="s">
        <v>120</v>
      </c>
    </row>
    <row r="209" customFormat="false" ht="15" hidden="false" customHeight="true" outlineLevel="0" collapsed="false">
      <c r="A209" s="7" t="s">
        <v>727</v>
      </c>
      <c r="B209" s="8" t="s">
        <v>298</v>
      </c>
      <c r="C209" s="8" t="s">
        <v>282</v>
      </c>
      <c r="D209" s="8" t="s">
        <v>243</v>
      </c>
      <c r="E209" s="7" t="s">
        <v>617</v>
      </c>
      <c r="F209" s="7" t="s">
        <v>25</v>
      </c>
      <c r="G209" s="7" t="n">
        <v>50</v>
      </c>
      <c r="H209" s="8" t="s">
        <v>156</v>
      </c>
      <c r="I209" s="8" t="s">
        <v>157</v>
      </c>
      <c r="J209" s="8" t="s">
        <v>28</v>
      </c>
      <c r="K209" s="8" t="s">
        <v>112</v>
      </c>
      <c r="L209" s="8" t="s">
        <v>505</v>
      </c>
      <c r="M209" s="7" t="n">
        <v>9</v>
      </c>
      <c r="N209" s="9" t="n">
        <v>15.98</v>
      </c>
      <c r="O209" s="10" t="n">
        <v>0</v>
      </c>
      <c r="P209" s="9" t="n">
        <v>143.78</v>
      </c>
      <c r="Q209" s="9" t="n">
        <v>78.59</v>
      </c>
      <c r="R209" s="8" t="s">
        <v>106</v>
      </c>
      <c r="S209" s="8" t="s">
        <v>120</v>
      </c>
    </row>
    <row r="210" customFormat="false" ht="15" hidden="false" customHeight="true" outlineLevel="0" collapsed="false">
      <c r="A210" s="11" t="s">
        <v>728</v>
      </c>
      <c r="B210" s="12" t="s">
        <v>540</v>
      </c>
      <c r="C210" s="12" t="s">
        <v>535</v>
      </c>
      <c r="D210" s="12" t="s">
        <v>656</v>
      </c>
      <c r="E210" s="11" t="s">
        <v>373</v>
      </c>
      <c r="F210" s="11" t="s">
        <v>25</v>
      </c>
      <c r="G210" s="11" t="n">
        <v>45</v>
      </c>
      <c r="H210" s="12" t="s">
        <v>141</v>
      </c>
      <c r="I210" s="12" t="s">
        <v>142</v>
      </c>
      <c r="J210" s="12" t="s">
        <v>88</v>
      </c>
      <c r="K210" s="12" t="s">
        <v>29</v>
      </c>
      <c r="L210" s="12" t="s">
        <v>382</v>
      </c>
      <c r="M210" s="11" t="n">
        <v>7</v>
      </c>
      <c r="N210" s="13" t="n">
        <v>28.55</v>
      </c>
      <c r="O210" s="14" t="n">
        <v>0.2</v>
      </c>
      <c r="P210" s="13" t="n">
        <v>159.88</v>
      </c>
      <c r="Q210" s="13" t="n">
        <v>54.4</v>
      </c>
      <c r="R210" s="12" t="s">
        <v>53</v>
      </c>
      <c r="S210" s="12" t="s">
        <v>128</v>
      </c>
    </row>
    <row r="211" customFormat="false" ht="15" hidden="false" customHeight="true" outlineLevel="0" collapsed="false">
      <c r="A211" s="7" t="s">
        <v>729</v>
      </c>
      <c r="B211" s="8" t="s">
        <v>485</v>
      </c>
      <c r="C211" s="8" t="s">
        <v>680</v>
      </c>
      <c r="D211" s="8" t="s">
        <v>357</v>
      </c>
      <c r="E211" s="7" t="s">
        <v>730</v>
      </c>
      <c r="F211" s="7" t="s">
        <v>47</v>
      </c>
      <c r="G211" s="7" t="n">
        <v>51</v>
      </c>
      <c r="H211" s="8" t="s">
        <v>102</v>
      </c>
      <c r="I211" s="8" t="s">
        <v>103</v>
      </c>
      <c r="J211" s="8" t="s">
        <v>28</v>
      </c>
      <c r="K211" s="8" t="s">
        <v>61</v>
      </c>
      <c r="L211" s="8" t="s">
        <v>374</v>
      </c>
      <c r="M211" s="7" t="n">
        <v>1</v>
      </c>
      <c r="N211" s="9" t="n">
        <v>339.95</v>
      </c>
      <c r="O211" s="10" t="n">
        <v>0.15</v>
      </c>
      <c r="P211" s="9" t="n">
        <v>288.96</v>
      </c>
      <c r="Q211" s="9" t="n">
        <v>74.39</v>
      </c>
      <c r="R211" s="8" t="s">
        <v>144</v>
      </c>
      <c r="S211" s="8" t="s">
        <v>63</v>
      </c>
    </row>
    <row r="212" customFormat="false" ht="15" hidden="false" customHeight="true" outlineLevel="0" collapsed="false">
      <c r="A212" s="11" t="s">
        <v>731</v>
      </c>
      <c r="B212" s="12" t="s">
        <v>655</v>
      </c>
      <c r="C212" s="12" t="s">
        <v>571</v>
      </c>
      <c r="D212" s="12" t="s">
        <v>36</v>
      </c>
      <c r="E212" s="11" t="s">
        <v>732</v>
      </c>
      <c r="F212" s="11" t="s">
        <v>47</v>
      </c>
      <c r="G212" s="11" t="n">
        <v>63</v>
      </c>
      <c r="H212" s="12" t="s">
        <v>102</v>
      </c>
      <c r="I212" s="12" t="s">
        <v>103</v>
      </c>
      <c r="J212" s="12" t="s">
        <v>28</v>
      </c>
      <c r="K212" s="12" t="s">
        <v>104</v>
      </c>
      <c r="L212" s="12" t="s">
        <v>151</v>
      </c>
      <c r="M212" s="11" t="n">
        <v>1</v>
      </c>
      <c r="N212" s="13" t="n">
        <v>54.12</v>
      </c>
      <c r="O212" s="14" t="n">
        <v>0.05</v>
      </c>
      <c r="P212" s="13" t="n">
        <v>51.41</v>
      </c>
      <c r="Q212" s="13" t="n">
        <v>19.62</v>
      </c>
      <c r="R212" s="12" t="s">
        <v>144</v>
      </c>
      <c r="S212" s="12" t="s">
        <v>73</v>
      </c>
    </row>
    <row r="213" customFormat="false" ht="15" hidden="false" customHeight="true" outlineLevel="0" collapsed="false">
      <c r="A213" s="7" t="s">
        <v>733</v>
      </c>
      <c r="B213" s="8" t="s">
        <v>734</v>
      </c>
      <c r="C213" s="8" t="s">
        <v>677</v>
      </c>
      <c r="D213" s="8" t="s">
        <v>211</v>
      </c>
      <c r="E213" s="7" t="s">
        <v>373</v>
      </c>
      <c r="F213" s="7" t="s">
        <v>25</v>
      </c>
      <c r="G213" s="7" t="n">
        <v>54</v>
      </c>
      <c r="H213" s="8" t="s">
        <v>38</v>
      </c>
      <c r="I213" s="8" t="s">
        <v>27</v>
      </c>
      <c r="J213" s="8" t="s">
        <v>28</v>
      </c>
      <c r="K213" s="8" t="s">
        <v>29</v>
      </c>
      <c r="L213" s="8" t="s">
        <v>244</v>
      </c>
      <c r="M213" s="7" t="n">
        <v>8</v>
      </c>
      <c r="N213" s="9" t="n">
        <v>65.66</v>
      </c>
      <c r="O213" s="10" t="n">
        <v>0</v>
      </c>
      <c r="P213" s="9" t="n">
        <v>525.25</v>
      </c>
      <c r="Q213" s="9" t="n">
        <v>189.03</v>
      </c>
      <c r="R213" s="8" t="s">
        <v>106</v>
      </c>
      <c r="S213" s="8" t="s">
        <v>120</v>
      </c>
    </row>
    <row r="214" customFormat="false" ht="15" hidden="false" customHeight="true" outlineLevel="0" collapsed="false">
      <c r="A214" s="11" t="s">
        <v>735</v>
      </c>
      <c r="B214" s="12" t="s">
        <v>736</v>
      </c>
      <c r="C214" s="12" t="s">
        <v>737</v>
      </c>
      <c r="D214" s="12" t="s">
        <v>271</v>
      </c>
      <c r="E214" s="11" t="s">
        <v>307</v>
      </c>
      <c r="F214" s="11" t="s">
        <v>47</v>
      </c>
      <c r="G214" s="11" t="n">
        <v>32</v>
      </c>
      <c r="H214" s="12" t="s">
        <v>38</v>
      </c>
      <c r="I214" s="12" t="s">
        <v>27</v>
      </c>
      <c r="J214" s="12" t="s">
        <v>28</v>
      </c>
      <c r="K214" s="12" t="s">
        <v>51</v>
      </c>
      <c r="L214" s="12" t="s">
        <v>71</v>
      </c>
      <c r="M214" s="11" t="n">
        <v>8</v>
      </c>
      <c r="N214" s="13" t="n">
        <v>149.34</v>
      </c>
      <c r="O214" s="14" t="n">
        <v>0</v>
      </c>
      <c r="P214" s="13" t="n">
        <v>1194.71</v>
      </c>
      <c r="Q214" s="13" t="n">
        <v>229.08</v>
      </c>
      <c r="R214" s="12" t="s">
        <v>106</v>
      </c>
      <c r="S214" s="12" t="s">
        <v>90</v>
      </c>
    </row>
    <row r="215" customFormat="false" ht="15" hidden="false" customHeight="true" outlineLevel="0" collapsed="false">
      <c r="A215" s="7" t="s">
        <v>738</v>
      </c>
      <c r="B215" s="8" t="s">
        <v>577</v>
      </c>
      <c r="C215" s="8" t="s">
        <v>739</v>
      </c>
      <c r="D215" s="8" t="s">
        <v>168</v>
      </c>
      <c r="E215" s="7" t="s">
        <v>377</v>
      </c>
      <c r="F215" s="7" t="s">
        <v>25</v>
      </c>
      <c r="G215" s="7" t="n">
        <v>43</v>
      </c>
      <c r="H215" s="8" t="s">
        <v>102</v>
      </c>
      <c r="I215" s="8" t="s">
        <v>103</v>
      </c>
      <c r="J215" s="8" t="s">
        <v>28</v>
      </c>
      <c r="K215" s="8" t="s">
        <v>51</v>
      </c>
      <c r="L215" s="8" t="s">
        <v>434</v>
      </c>
      <c r="M215" s="7" t="n">
        <v>9</v>
      </c>
      <c r="N215" s="9" t="n">
        <v>1679</v>
      </c>
      <c r="O215" s="10" t="n">
        <v>0</v>
      </c>
      <c r="P215" s="9" t="n">
        <v>15110.96</v>
      </c>
      <c r="Q215" s="9" t="n">
        <v>2898.01</v>
      </c>
      <c r="R215" s="8" t="s">
        <v>53</v>
      </c>
      <c r="S215" s="8" t="s">
        <v>63</v>
      </c>
    </row>
    <row r="216" customFormat="false" ht="15" hidden="false" customHeight="true" outlineLevel="0" collapsed="false">
      <c r="A216" s="11" t="s">
        <v>740</v>
      </c>
      <c r="B216" s="12" t="s">
        <v>741</v>
      </c>
      <c r="C216" s="12" t="s">
        <v>540</v>
      </c>
      <c r="D216" s="12" t="s">
        <v>100</v>
      </c>
      <c r="E216" s="11" t="s">
        <v>352</v>
      </c>
      <c r="F216" s="11" t="s">
        <v>25</v>
      </c>
      <c r="G216" s="11" t="n">
        <v>47</v>
      </c>
      <c r="H216" s="12" t="s">
        <v>119</v>
      </c>
      <c r="I216" s="12" t="s">
        <v>119</v>
      </c>
      <c r="J216" s="12" t="s">
        <v>28</v>
      </c>
      <c r="K216" s="12" t="s">
        <v>51</v>
      </c>
      <c r="L216" s="12" t="s">
        <v>742</v>
      </c>
      <c r="M216" s="11" t="n">
        <v>6</v>
      </c>
      <c r="N216" s="13" t="n">
        <v>111.63</v>
      </c>
      <c r="O216" s="14" t="n">
        <v>0.1</v>
      </c>
      <c r="P216" s="13" t="n">
        <v>602.81</v>
      </c>
      <c r="Q216" s="13" t="n">
        <v>147.71</v>
      </c>
      <c r="R216" s="12" t="s">
        <v>40</v>
      </c>
      <c r="S216" s="12" t="s">
        <v>80</v>
      </c>
    </row>
    <row r="217" customFormat="false" ht="15" hidden="false" customHeight="true" outlineLevel="0" collapsed="false">
      <c r="A217" s="7" t="s">
        <v>743</v>
      </c>
      <c r="B217" s="8" t="s">
        <v>683</v>
      </c>
      <c r="C217" s="8" t="s">
        <v>425</v>
      </c>
      <c r="D217" s="8" t="s">
        <v>744</v>
      </c>
      <c r="E217" s="7" t="s">
        <v>703</v>
      </c>
      <c r="F217" s="7" t="s">
        <v>25</v>
      </c>
      <c r="G217" s="7" t="n">
        <v>39</v>
      </c>
      <c r="H217" s="8" t="s">
        <v>26</v>
      </c>
      <c r="I217" s="8" t="s">
        <v>27</v>
      </c>
      <c r="J217" s="8" t="s">
        <v>28</v>
      </c>
      <c r="K217" s="8" t="s">
        <v>29</v>
      </c>
      <c r="L217" s="8" t="s">
        <v>240</v>
      </c>
      <c r="M217" s="7" t="n">
        <v>1</v>
      </c>
      <c r="N217" s="9" t="n">
        <v>85.61</v>
      </c>
      <c r="O217" s="10" t="n">
        <v>0</v>
      </c>
      <c r="P217" s="9" t="n">
        <v>85.61</v>
      </c>
      <c r="Q217" s="9" t="n">
        <v>29.06</v>
      </c>
      <c r="R217" s="8" t="s">
        <v>144</v>
      </c>
      <c r="S217" s="8" t="s">
        <v>90</v>
      </c>
    </row>
    <row r="218" customFormat="false" ht="15" hidden="false" customHeight="true" outlineLevel="0" collapsed="false">
      <c r="A218" s="11" t="s">
        <v>745</v>
      </c>
      <c r="B218" s="12" t="s">
        <v>279</v>
      </c>
      <c r="C218" s="12" t="s">
        <v>246</v>
      </c>
      <c r="D218" s="12" t="s">
        <v>154</v>
      </c>
      <c r="E218" s="11" t="s">
        <v>730</v>
      </c>
      <c r="F218" s="11" t="s">
        <v>25</v>
      </c>
      <c r="G218" s="11" t="n">
        <v>32</v>
      </c>
      <c r="H218" s="12" t="s">
        <v>48</v>
      </c>
      <c r="I218" s="12" t="s">
        <v>49</v>
      </c>
      <c r="J218" s="12" t="s">
        <v>50</v>
      </c>
      <c r="K218" s="12" t="s">
        <v>104</v>
      </c>
      <c r="L218" s="12" t="s">
        <v>105</v>
      </c>
      <c r="M218" s="11" t="n">
        <v>8</v>
      </c>
      <c r="N218" s="13" t="n">
        <v>111.1</v>
      </c>
      <c r="O218" s="14" t="n">
        <v>0</v>
      </c>
      <c r="P218" s="13" t="n">
        <v>888.82</v>
      </c>
      <c r="Q218" s="13" t="n">
        <v>404.91</v>
      </c>
      <c r="R218" s="12" t="s">
        <v>53</v>
      </c>
      <c r="S218" s="12" t="s">
        <v>96</v>
      </c>
    </row>
    <row r="219" customFormat="false" ht="15" hidden="false" customHeight="true" outlineLevel="0" collapsed="false">
      <c r="A219" s="7" t="s">
        <v>746</v>
      </c>
      <c r="B219" s="8" t="s">
        <v>489</v>
      </c>
      <c r="C219" s="8" t="s">
        <v>196</v>
      </c>
      <c r="D219" s="8" t="s">
        <v>325</v>
      </c>
      <c r="E219" s="7" t="s">
        <v>710</v>
      </c>
      <c r="F219" s="7" t="s">
        <v>25</v>
      </c>
      <c r="G219" s="7" t="n">
        <v>45</v>
      </c>
      <c r="H219" s="8" t="s">
        <v>348</v>
      </c>
      <c r="I219" s="8" t="s">
        <v>164</v>
      </c>
      <c r="J219" s="8" t="s">
        <v>79</v>
      </c>
      <c r="K219" s="8" t="s">
        <v>51</v>
      </c>
      <c r="L219" s="8" t="s">
        <v>52</v>
      </c>
      <c r="M219" s="7" t="n">
        <v>3</v>
      </c>
      <c r="N219" s="9" t="n">
        <v>883.91</v>
      </c>
      <c r="O219" s="10" t="n">
        <v>0.05</v>
      </c>
      <c r="P219" s="9" t="n">
        <v>2519.14</v>
      </c>
      <c r="Q219" s="9" t="n">
        <v>459.96</v>
      </c>
      <c r="R219" s="8" t="s">
        <v>106</v>
      </c>
      <c r="S219" s="8" t="s">
        <v>63</v>
      </c>
    </row>
    <row r="220" customFormat="false" ht="15" hidden="false" customHeight="true" outlineLevel="0" collapsed="false">
      <c r="A220" s="11" t="s">
        <v>747</v>
      </c>
      <c r="B220" s="12" t="s">
        <v>205</v>
      </c>
      <c r="C220" s="12" t="s">
        <v>748</v>
      </c>
      <c r="D220" s="12" t="s">
        <v>515</v>
      </c>
      <c r="E220" s="11" t="s">
        <v>421</v>
      </c>
      <c r="F220" s="11" t="s">
        <v>25</v>
      </c>
      <c r="G220" s="11" t="n">
        <v>27</v>
      </c>
      <c r="H220" s="12" t="s">
        <v>59</v>
      </c>
      <c r="I220" s="12" t="s">
        <v>60</v>
      </c>
      <c r="J220" s="12" t="s">
        <v>50</v>
      </c>
      <c r="K220" s="12" t="s">
        <v>134</v>
      </c>
      <c r="L220" s="12" t="s">
        <v>178</v>
      </c>
      <c r="M220" s="11" t="n">
        <v>8</v>
      </c>
      <c r="N220" s="13" t="n">
        <v>19.18</v>
      </c>
      <c r="O220" s="14" t="n">
        <v>0</v>
      </c>
      <c r="P220" s="13" t="n">
        <v>153.41</v>
      </c>
      <c r="Q220" s="13" t="n">
        <v>99.35</v>
      </c>
      <c r="R220" s="12" t="s">
        <v>106</v>
      </c>
      <c r="S220" s="12" t="s">
        <v>80</v>
      </c>
    </row>
    <row r="221" customFormat="false" ht="15" hidden="false" customHeight="true" outlineLevel="0" collapsed="false">
      <c r="A221" s="7" t="s">
        <v>749</v>
      </c>
      <c r="B221" s="8" t="s">
        <v>173</v>
      </c>
      <c r="C221" s="8" t="s">
        <v>685</v>
      </c>
      <c r="D221" s="8" t="s">
        <v>486</v>
      </c>
      <c r="E221" s="7" t="s">
        <v>291</v>
      </c>
      <c r="F221" s="7" t="s">
        <v>47</v>
      </c>
      <c r="G221" s="7" t="n">
        <v>25</v>
      </c>
      <c r="H221" s="8" t="s">
        <v>77</v>
      </c>
      <c r="I221" s="8" t="s">
        <v>78</v>
      </c>
      <c r="J221" s="8" t="s">
        <v>79</v>
      </c>
      <c r="K221" s="8" t="s">
        <v>134</v>
      </c>
      <c r="L221" s="8" t="s">
        <v>466</v>
      </c>
      <c r="M221" s="7" t="n">
        <v>6</v>
      </c>
      <c r="N221" s="9" t="n">
        <v>22.25</v>
      </c>
      <c r="O221" s="10" t="n">
        <v>0</v>
      </c>
      <c r="P221" s="9" t="n">
        <v>133.47</v>
      </c>
      <c r="Q221" s="9" t="n">
        <v>72</v>
      </c>
      <c r="R221" s="8" t="s">
        <v>106</v>
      </c>
      <c r="S221" s="8" t="s">
        <v>63</v>
      </c>
    </row>
    <row r="222" customFormat="false" ht="15" hidden="false" customHeight="true" outlineLevel="0" collapsed="false">
      <c r="A222" s="11" t="s">
        <v>750</v>
      </c>
      <c r="B222" s="12" t="s">
        <v>147</v>
      </c>
      <c r="C222" s="12" t="s">
        <v>751</v>
      </c>
      <c r="D222" s="12" t="s">
        <v>364</v>
      </c>
      <c r="E222" s="11" t="s">
        <v>722</v>
      </c>
      <c r="F222" s="11" t="s">
        <v>47</v>
      </c>
      <c r="G222" s="11" t="n">
        <v>50</v>
      </c>
      <c r="H222" s="12" t="s">
        <v>190</v>
      </c>
      <c r="I222" s="12" t="s">
        <v>142</v>
      </c>
      <c r="J222" s="12" t="s">
        <v>88</v>
      </c>
      <c r="K222" s="12" t="s">
        <v>29</v>
      </c>
      <c r="L222" s="12" t="s">
        <v>605</v>
      </c>
      <c r="M222" s="11" t="n">
        <v>6</v>
      </c>
      <c r="N222" s="13" t="n">
        <v>54.56</v>
      </c>
      <c r="O222" s="14" t="n">
        <v>0.15</v>
      </c>
      <c r="P222" s="13" t="n">
        <v>278.25</v>
      </c>
      <c r="Q222" s="13" t="n">
        <v>95.09</v>
      </c>
      <c r="R222" s="12" t="s">
        <v>144</v>
      </c>
      <c r="S222" s="12" t="s">
        <v>63</v>
      </c>
    </row>
    <row r="223" customFormat="false" ht="15" hidden="false" customHeight="true" outlineLevel="0" collapsed="false">
      <c r="A223" s="7" t="s">
        <v>752</v>
      </c>
      <c r="B223" s="8" t="s">
        <v>205</v>
      </c>
      <c r="C223" s="8" t="s">
        <v>753</v>
      </c>
      <c r="D223" s="8" t="s">
        <v>398</v>
      </c>
      <c r="E223" s="7" t="s">
        <v>253</v>
      </c>
      <c r="F223" s="7" t="s">
        <v>25</v>
      </c>
      <c r="G223" s="7" t="n">
        <v>25</v>
      </c>
      <c r="H223" s="8" t="s">
        <v>176</v>
      </c>
      <c r="I223" s="8" t="s">
        <v>177</v>
      </c>
      <c r="J223" s="8" t="s">
        <v>50</v>
      </c>
      <c r="K223" s="8" t="s">
        <v>51</v>
      </c>
      <c r="L223" s="8" t="s">
        <v>89</v>
      </c>
      <c r="M223" s="7" t="n">
        <v>9</v>
      </c>
      <c r="N223" s="9" t="n">
        <v>459.69</v>
      </c>
      <c r="O223" s="10" t="n">
        <v>0</v>
      </c>
      <c r="P223" s="9" t="n">
        <v>4137.23</v>
      </c>
      <c r="Q223" s="9" t="n">
        <v>762.64</v>
      </c>
      <c r="R223" s="8" t="s">
        <v>31</v>
      </c>
      <c r="S223" s="8" t="s">
        <v>41</v>
      </c>
    </row>
    <row r="224" customFormat="false" ht="15" hidden="false" customHeight="true" outlineLevel="0" collapsed="false">
      <c r="A224" s="11" t="s">
        <v>754</v>
      </c>
      <c r="B224" s="12" t="s">
        <v>755</v>
      </c>
      <c r="C224" s="12" t="s">
        <v>756</v>
      </c>
      <c r="D224" s="12" t="s">
        <v>36</v>
      </c>
      <c r="E224" s="11" t="s">
        <v>85</v>
      </c>
      <c r="F224" s="11" t="s">
        <v>25</v>
      </c>
      <c r="G224" s="11" t="n">
        <v>59</v>
      </c>
      <c r="H224" s="12" t="s">
        <v>156</v>
      </c>
      <c r="I224" s="12" t="s">
        <v>157</v>
      </c>
      <c r="J224" s="12" t="s">
        <v>28</v>
      </c>
      <c r="K224" s="12" t="s">
        <v>134</v>
      </c>
      <c r="L224" s="12" t="s">
        <v>178</v>
      </c>
      <c r="M224" s="11" t="n">
        <v>10</v>
      </c>
      <c r="N224" s="13" t="n">
        <v>21.69</v>
      </c>
      <c r="O224" s="14" t="n">
        <v>0.2</v>
      </c>
      <c r="P224" s="13" t="n">
        <v>173.51</v>
      </c>
      <c r="Q224" s="13" t="n">
        <v>79.21</v>
      </c>
      <c r="R224" s="12" t="s">
        <v>106</v>
      </c>
      <c r="S224" s="12" t="s">
        <v>73</v>
      </c>
    </row>
    <row r="225" customFormat="false" ht="15" hidden="false" customHeight="true" outlineLevel="0" collapsed="false">
      <c r="A225" s="7" t="s">
        <v>757</v>
      </c>
      <c r="B225" s="8" t="s">
        <v>122</v>
      </c>
      <c r="C225" s="8" t="s">
        <v>758</v>
      </c>
      <c r="D225" s="8" t="s">
        <v>336</v>
      </c>
      <c r="E225" s="7" t="s">
        <v>203</v>
      </c>
      <c r="F225" s="7" t="s">
        <v>47</v>
      </c>
      <c r="G225" s="7" t="n">
        <v>19</v>
      </c>
      <c r="H225" s="8" t="s">
        <v>38</v>
      </c>
      <c r="I225" s="8" t="s">
        <v>27</v>
      </c>
      <c r="J225" s="8" t="s">
        <v>28</v>
      </c>
      <c r="K225" s="8" t="s">
        <v>51</v>
      </c>
      <c r="L225" s="8" t="s">
        <v>742</v>
      </c>
      <c r="M225" s="7" t="n">
        <v>3</v>
      </c>
      <c r="N225" s="9" t="n">
        <v>146.36</v>
      </c>
      <c r="O225" s="10" t="n">
        <v>0.05</v>
      </c>
      <c r="P225" s="9" t="n">
        <v>417.12</v>
      </c>
      <c r="Q225" s="9" t="n">
        <v>103.57</v>
      </c>
      <c r="R225" s="8" t="s">
        <v>144</v>
      </c>
      <c r="S225" s="8" t="s">
        <v>90</v>
      </c>
    </row>
    <row r="226" customFormat="false" ht="15" hidden="false" customHeight="true" outlineLevel="0" collapsed="false">
      <c r="A226" s="11" t="s">
        <v>759</v>
      </c>
      <c r="B226" s="12" t="s">
        <v>269</v>
      </c>
      <c r="C226" s="12" t="s">
        <v>760</v>
      </c>
      <c r="D226" s="12" t="s">
        <v>100</v>
      </c>
      <c r="E226" s="11" t="s">
        <v>604</v>
      </c>
      <c r="F226" s="11" t="s">
        <v>25</v>
      </c>
      <c r="G226" s="11" t="n">
        <v>59</v>
      </c>
      <c r="H226" s="12" t="s">
        <v>86</v>
      </c>
      <c r="I226" s="12" t="s">
        <v>87</v>
      </c>
      <c r="J226" s="12" t="s">
        <v>88</v>
      </c>
      <c r="K226" s="12" t="s">
        <v>104</v>
      </c>
      <c r="L226" s="12" t="s">
        <v>213</v>
      </c>
      <c r="M226" s="11" t="n">
        <v>5</v>
      </c>
      <c r="N226" s="13" t="n">
        <v>25.71</v>
      </c>
      <c r="O226" s="14" t="n">
        <v>0</v>
      </c>
      <c r="P226" s="13" t="n">
        <v>128.55</v>
      </c>
      <c r="Q226" s="13" t="n">
        <v>43.94</v>
      </c>
      <c r="R226" s="12" t="s">
        <v>53</v>
      </c>
      <c r="S226" s="12" t="s">
        <v>90</v>
      </c>
    </row>
    <row r="227" customFormat="false" ht="15" hidden="false" customHeight="true" outlineLevel="0" collapsed="false">
      <c r="A227" s="7" t="s">
        <v>761</v>
      </c>
      <c r="B227" s="8" t="s">
        <v>762</v>
      </c>
      <c r="C227" s="8" t="s">
        <v>763</v>
      </c>
      <c r="D227" s="8" t="s">
        <v>248</v>
      </c>
      <c r="E227" s="7" t="s">
        <v>183</v>
      </c>
      <c r="F227" s="7" t="s">
        <v>25</v>
      </c>
      <c r="G227" s="7" t="n">
        <v>58</v>
      </c>
      <c r="H227" s="8" t="s">
        <v>86</v>
      </c>
      <c r="I227" s="8" t="s">
        <v>87</v>
      </c>
      <c r="J227" s="8" t="s">
        <v>88</v>
      </c>
      <c r="K227" s="8" t="s">
        <v>51</v>
      </c>
      <c r="L227" s="8" t="s">
        <v>52</v>
      </c>
      <c r="M227" s="7" t="n">
        <v>7</v>
      </c>
      <c r="N227" s="9" t="n">
        <v>723.92</v>
      </c>
      <c r="O227" s="10" t="n">
        <v>0</v>
      </c>
      <c r="P227" s="9" t="n">
        <v>5067.41</v>
      </c>
      <c r="Q227" s="9" t="n">
        <v>1178.44</v>
      </c>
      <c r="R227" s="8" t="s">
        <v>31</v>
      </c>
      <c r="S227" s="8" t="s">
        <v>90</v>
      </c>
    </row>
    <row r="228" customFormat="false" ht="15" hidden="false" customHeight="true" outlineLevel="0" collapsed="false">
      <c r="A228" s="11" t="s">
        <v>764</v>
      </c>
      <c r="B228" s="12" t="s">
        <v>765</v>
      </c>
      <c r="C228" s="12" t="s">
        <v>615</v>
      </c>
      <c r="D228" s="12" t="s">
        <v>504</v>
      </c>
      <c r="E228" s="11" t="s">
        <v>111</v>
      </c>
      <c r="F228" s="11" t="s">
        <v>47</v>
      </c>
      <c r="G228" s="11" t="n">
        <v>56</v>
      </c>
      <c r="H228" s="12" t="s">
        <v>69</v>
      </c>
      <c r="I228" s="12" t="s">
        <v>70</v>
      </c>
      <c r="J228" s="12" t="s">
        <v>50</v>
      </c>
      <c r="K228" s="12" t="s">
        <v>29</v>
      </c>
      <c r="L228" s="12" t="s">
        <v>30</v>
      </c>
      <c r="M228" s="11" t="n">
        <v>10</v>
      </c>
      <c r="N228" s="13" t="n">
        <v>94.59</v>
      </c>
      <c r="O228" s="14" t="n">
        <v>0.05</v>
      </c>
      <c r="P228" s="13" t="n">
        <v>898.57</v>
      </c>
      <c r="Q228" s="13" t="n">
        <v>310.1</v>
      </c>
      <c r="R228" s="12" t="s">
        <v>31</v>
      </c>
      <c r="S228" s="12" t="s">
        <v>63</v>
      </c>
    </row>
    <row r="229" customFormat="false" ht="15" hidden="false" customHeight="true" outlineLevel="0" collapsed="false">
      <c r="A229" s="7" t="s">
        <v>766</v>
      </c>
      <c r="B229" s="8" t="s">
        <v>767</v>
      </c>
      <c r="C229" s="8" t="s">
        <v>517</v>
      </c>
      <c r="D229" s="8" t="s">
        <v>296</v>
      </c>
      <c r="E229" s="7" t="s">
        <v>557</v>
      </c>
      <c r="F229" s="7" t="s">
        <v>47</v>
      </c>
      <c r="G229" s="7" t="n">
        <v>52</v>
      </c>
      <c r="H229" s="8" t="s">
        <v>266</v>
      </c>
      <c r="I229" s="8" t="s">
        <v>78</v>
      </c>
      <c r="J229" s="8" t="s">
        <v>79</v>
      </c>
      <c r="K229" s="8" t="s">
        <v>134</v>
      </c>
      <c r="L229" s="8" t="s">
        <v>178</v>
      </c>
      <c r="M229" s="7" t="n">
        <v>4</v>
      </c>
      <c r="N229" s="9" t="n">
        <v>24.79</v>
      </c>
      <c r="O229" s="10" t="n">
        <v>0</v>
      </c>
      <c r="P229" s="9" t="n">
        <v>99.17</v>
      </c>
      <c r="Q229" s="9" t="n">
        <v>49.04</v>
      </c>
      <c r="R229" s="8" t="s">
        <v>106</v>
      </c>
      <c r="S229" s="8" t="s">
        <v>128</v>
      </c>
    </row>
    <row r="230" customFormat="false" ht="15" hidden="false" customHeight="true" outlineLevel="0" collapsed="false">
      <c r="A230" s="11" t="s">
        <v>768</v>
      </c>
      <c r="B230" s="12" t="s">
        <v>224</v>
      </c>
      <c r="C230" s="12" t="s">
        <v>616</v>
      </c>
      <c r="D230" s="12" t="s">
        <v>769</v>
      </c>
      <c r="E230" s="11" t="s">
        <v>560</v>
      </c>
      <c r="F230" s="11" t="s">
        <v>25</v>
      </c>
      <c r="G230" s="11" t="n">
        <v>63</v>
      </c>
      <c r="H230" s="12" t="s">
        <v>184</v>
      </c>
      <c r="I230" s="12" t="s">
        <v>185</v>
      </c>
      <c r="J230" s="12" t="s">
        <v>88</v>
      </c>
      <c r="K230" s="12" t="s">
        <v>104</v>
      </c>
      <c r="L230" s="12" t="s">
        <v>213</v>
      </c>
      <c r="M230" s="11" t="n">
        <v>10</v>
      </c>
      <c r="N230" s="13" t="n">
        <v>24.43</v>
      </c>
      <c r="O230" s="14" t="n">
        <v>0.15</v>
      </c>
      <c r="P230" s="13" t="n">
        <v>207.66</v>
      </c>
      <c r="Q230" s="13" t="n">
        <v>94.11</v>
      </c>
      <c r="R230" s="12" t="s">
        <v>40</v>
      </c>
      <c r="S230" s="12" t="s">
        <v>128</v>
      </c>
    </row>
    <row r="231" customFormat="false" ht="15" hidden="false" customHeight="true" outlineLevel="0" collapsed="false">
      <c r="A231" s="7" t="s">
        <v>770</v>
      </c>
      <c r="B231" s="8" t="s">
        <v>756</v>
      </c>
      <c r="C231" s="8" t="s">
        <v>596</v>
      </c>
      <c r="D231" s="8" t="s">
        <v>771</v>
      </c>
      <c r="E231" s="7" t="s">
        <v>716</v>
      </c>
      <c r="F231" s="7" t="s">
        <v>25</v>
      </c>
      <c r="G231" s="7" t="n">
        <v>19</v>
      </c>
      <c r="H231" s="8" t="s">
        <v>77</v>
      </c>
      <c r="I231" s="8" t="s">
        <v>78</v>
      </c>
      <c r="J231" s="8" t="s">
        <v>79</v>
      </c>
      <c r="K231" s="8" t="s">
        <v>104</v>
      </c>
      <c r="L231" s="8" t="s">
        <v>574</v>
      </c>
      <c r="M231" s="7" t="n">
        <v>5</v>
      </c>
      <c r="N231" s="9" t="n">
        <v>110.43</v>
      </c>
      <c r="O231" s="10" t="n">
        <v>0</v>
      </c>
      <c r="P231" s="9" t="n">
        <v>552.13</v>
      </c>
      <c r="Q231" s="9" t="n">
        <v>193.89</v>
      </c>
      <c r="R231" s="8" t="s">
        <v>53</v>
      </c>
      <c r="S231" s="8" t="s">
        <v>32</v>
      </c>
    </row>
    <row r="232" customFormat="false" ht="15" hidden="false" customHeight="true" outlineLevel="0" collapsed="false">
      <c r="A232" s="11" t="s">
        <v>772</v>
      </c>
      <c r="B232" s="12" t="s">
        <v>122</v>
      </c>
      <c r="C232" s="12" t="s">
        <v>324</v>
      </c>
      <c r="D232" s="12" t="s">
        <v>412</v>
      </c>
      <c r="E232" s="11" t="s">
        <v>198</v>
      </c>
      <c r="F232" s="11" t="s">
        <v>25</v>
      </c>
      <c r="G232" s="11" t="n">
        <v>27</v>
      </c>
      <c r="H232" s="12" t="s">
        <v>59</v>
      </c>
      <c r="I232" s="12" t="s">
        <v>60</v>
      </c>
      <c r="J232" s="12" t="s">
        <v>50</v>
      </c>
      <c r="K232" s="12" t="s">
        <v>104</v>
      </c>
      <c r="L232" s="12" t="s">
        <v>213</v>
      </c>
      <c r="M232" s="11" t="n">
        <v>3</v>
      </c>
      <c r="N232" s="13" t="n">
        <v>30.44</v>
      </c>
      <c r="O232" s="14" t="n">
        <v>0.2</v>
      </c>
      <c r="P232" s="13" t="n">
        <v>73.05</v>
      </c>
      <c r="Q232" s="13" t="n">
        <v>35.2</v>
      </c>
      <c r="R232" s="12" t="s">
        <v>144</v>
      </c>
      <c r="S232" s="12" t="s">
        <v>54</v>
      </c>
    </row>
    <row r="233" customFormat="false" ht="15" hidden="false" customHeight="true" outlineLevel="0" collapsed="false">
      <c r="A233" s="7" t="s">
        <v>773</v>
      </c>
      <c r="B233" s="8" t="s">
        <v>715</v>
      </c>
      <c r="C233" s="8" t="s">
        <v>65</v>
      </c>
      <c r="D233" s="8" t="s">
        <v>515</v>
      </c>
      <c r="E233" s="7" t="s">
        <v>133</v>
      </c>
      <c r="F233" s="7" t="s">
        <v>25</v>
      </c>
      <c r="G233" s="7" t="n">
        <v>64</v>
      </c>
      <c r="H233" s="8" t="s">
        <v>69</v>
      </c>
      <c r="I233" s="8" t="s">
        <v>70</v>
      </c>
      <c r="J233" s="8" t="s">
        <v>50</v>
      </c>
      <c r="K233" s="8" t="s">
        <v>61</v>
      </c>
      <c r="L233" s="8" t="s">
        <v>401</v>
      </c>
      <c r="M233" s="7" t="n">
        <v>7</v>
      </c>
      <c r="N233" s="9" t="n">
        <v>216.88</v>
      </c>
      <c r="O233" s="10" t="n">
        <v>0</v>
      </c>
      <c r="P233" s="9" t="n">
        <v>1518.17</v>
      </c>
      <c r="Q233" s="9" t="n">
        <v>447.29</v>
      </c>
      <c r="R233" s="8" t="s">
        <v>144</v>
      </c>
      <c r="S233" s="8" t="s">
        <v>80</v>
      </c>
    </row>
    <row r="234" customFormat="false" ht="15" hidden="false" customHeight="true" outlineLevel="0" collapsed="false">
      <c r="A234" s="11" t="s">
        <v>774</v>
      </c>
      <c r="B234" s="12" t="s">
        <v>622</v>
      </c>
      <c r="C234" s="12" t="s">
        <v>586</v>
      </c>
      <c r="D234" s="12" t="s">
        <v>139</v>
      </c>
      <c r="E234" s="11" t="s">
        <v>703</v>
      </c>
      <c r="F234" s="11" t="s">
        <v>25</v>
      </c>
      <c r="G234" s="11" t="n">
        <v>29</v>
      </c>
      <c r="H234" s="12" t="s">
        <v>184</v>
      </c>
      <c r="I234" s="12" t="s">
        <v>185</v>
      </c>
      <c r="J234" s="12" t="s">
        <v>88</v>
      </c>
      <c r="K234" s="12" t="s">
        <v>104</v>
      </c>
      <c r="L234" s="12" t="s">
        <v>536</v>
      </c>
      <c r="M234" s="11" t="n">
        <v>10</v>
      </c>
      <c r="N234" s="13" t="n">
        <v>94.06</v>
      </c>
      <c r="O234" s="14" t="n">
        <v>0.05</v>
      </c>
      <c r="P234" s="13" t="n">
        <v>893.59</v>
      </c>
      <c r="Q234" s="13" t="n">
        <v>346.31</v>
      </c>
      <c r="R234" s="12" t="s">
        <v>144</v>
      </c>
      <c r="S234" s="12" t="s">
        <v>128</v>
      </c>
    </row>
    <row r="235" customFormat="false" ht="15" hidden="false" customHeight="true" outlineLevel="0" collapsed="false">
      <c r="A235" s="7" t="s">
        <v>775</v>
      </c>
      <c r="B235" s="8" t="s">
        <v>584</v>
      </c>
      <c r="C235" s="8" t="s">
        <v>776</v>
      </c>
      <c r="D235" s="8" t="s">
        <v>239</v>
      </c>
      <c r="E235" s="7" t="s">
        <v>477</v>
      </c>
      <c r="F235" s="7" t="s">
        <v>25</v>
      </c>
      <c r="G235" s="7" t="n">
        <v>49</v>
      </c>
      <c r="H235" s="8" t="s">
        <v>125</v>
      </c>
      <c r="I235" s="8" t="s">
        <v>126</v>
      </c>
      <c r="J235" s="8" t="s">
        <v>88</v>
      </c>
      <c r="K235" s="8" t="s">
        <v>29</v>
      </c>
      <c r="L235" s="8" t="s">
        <v>605</v>
      </c>
      <c r="M235" s="7" t="n">
        <v>10</v>
      </c>
      <c r="N235" s="9" t="n">
        <v>58.64</v>
      </c>
      <c r="O235" s="10" t="n">
        <v>0.2</v>
      </c>
      <c r="P235" s="9" t="n">
        <v>469.1</v>
      </c>
      <c r="Q235" s="9" t="n">
        <v>211.59</v>
      </c>
      <c r="R235" s="8" t="s">
        <v>72</v>
      </c>
      <c r="S235" s="8" t="s">
        <v>73</v>
      </c>
    </row>
    <row r="236" customFormat="false" ht="15" hidden="false" customHeight="true" outlineLevel="0" collapsed="false">
      <c r="A236" s="11" t="s">
        <v>777</v>
      </c>
      <c r="B236" s="12" t="s">
        <v>363</v>
      </c>
      <c r="C236" s="12" t="s">
        <v>167</v>
      </c>
      <c r="D236" s="12" t="s">
        <v>36</v>
      </c>
      <c r="E236" s="11" t="s">
        <v>421</v>
      </c>
      <c r="F236" s="11" t="s">
        <v>47</v>
      </c>
      <c r="G236" s="11" t="n">
        <v>34</v>
      </c>
      <c r="H236" s="12" t="s">
        <v>156</v>
      </c>
      <c r="I236" s="12" t="s">
        <v>157</v>
      </c>
      <c r="J236" s="12" t="s">
        <v>28</v>
      </c>
      <c r="K236" s="12" t="s">
        <v>61</v>
      </c>
      <c r="L236" s="12" t="s">
        <v>374</v>
      </c>
      <c r="M236" s="11" t="n">
        <v>6</v>
      </c>
      <c r="N236" s="13" t="n">
        <v>308.6</v>
      </c>
      <c r="O236" s="14" t="n">
        <v>0</v>
      </c>
      <c r="P236" s="13" t="n">
        <v>1851.57</v>
      </c>
      <c r="Q236" s="13" t="n">
        <v>523.7</v>
      </c>
      <c r="R236" s="12" t="s">
        <v>144</v>
      </c>
      <c r="S236" s="12" t="s">
        <v>32</v>
      </c>
    </row>
    <row r="237" customFormat="false" ht="15" hidden="false" customHeight="true" outlineLevel="0" collapsed="false">
      <c r="A237" s="7" t="s">
        <v>778</v>
      </c>
      <c r="B237" s="8" t="s">
        <v>474</v>
      </c>
      <c r="C237" s="8" t="s">
        <v>779</v>
      </c>
      <c r="D237" s="8" t="s">
        <v>110</v>
      </c>
      <c r="E237" s="7" t="s">
        <v>732</v>
      </c>
      <c r="F237" s="7" t="s">
        <v>25</v>
      </c>
      <c r="G237" s="7" t="n">
        <v>48</v>
      </c>
      <c r="H237" s="8" t="s">
        <v>125</v>
      </c>
      <c r="I237" s="8" t="s">
        <v>126</v>
      </c>
      <c r="J237" s="8" t="s">
        <v>88</v>
      </c>
      <c r="K237" s="8" t="s">
        <v>134</v>
      </c>
      <c r="L237" s="8" t="s">
        <v>667</v>
      </c>
      <c r="M237" s="7" t="n">
        <v>7</v>
      </c>
      <c r="N237" s="9" t="n">
        <v>8.38</v>
      </c>
      <c r="O237" s="10" t="n">
        <v>0.05</v>
      </c>
      <c r="P237" s="9" t="n">
        <v>55.71</v>
      </c>
      <c r="Q237" s="9" t="n">
        <v>28.82</v>
      </c>
      <c r="R237" s="8" t="s">
        <v>144</v>
      </c>
      <c r="S237" s="8" t="s">
        <v>41</v>
      </c>
    </row>
    <row r="238" customFormat="false" ht="15" hidden="false" customHeight="true" outlineLevel="0" collapsed="false">
      <c r="A238" s="11" t="s">
        <v>780</v>
      </c>
      <c r="B238" s="12" t="s">
        <v>188</v>
      </c>
      <c r="C238" s="12" t="s">
        <v>571</v>
      </c>
      <c r="D238" s="12" t="s">
        <v>423</v>
      </c>
      <c r="E238" s="11" t="s">
        <v>258</v>
      </c>
      <c r="F238" s="11" t="s">
        <v>47</v>
      </c>
      <c r="G238" s="11" t="n">
        <v>28</v>
      </c>
      <c r="H238" s="12" t="s">
        <v>141</v>
      </c>
      <c r="I238" s="12" t="s">
        <v>142</v>
      </c>
      <c r="J238" s="12" t="s">
        <v>88</v>
      </c>
      <c r="K238" s="12" t="s">
        <v>51</v>
      </c>
      <c r="L238" s="12" t="s">
        <v>217</v>
      </c>
      <c r="M238" s="11" t="n">
        <v>1</v>
      </c>
      <c r="N238" s="13" t="n">
        <v>3127.96</v>
      </c>
      <c r="O238" s="14" t="n">
        <v>0</v>
      </c>
      <c r="P238" s="13" t="n">
        <v>3127.96</v>
      </c>
      <c r="Q238" s="13" t="n">
        <v>570.95</v>
      </c>
      <c r="R238" s="12" t="s">
        <v>40</v>
      </c>
      <c r="S238" s="12" t="s">
        <v>73</v>
      </c>
    </row>
    <row r="239" customFormat="false" ht="15" hidden="false" customHeight="true" outlineLevel="0" collapsed="false">
      <c r="A239" s="7" t="s">
        <v>781</v>
      </c>
      <c r="B239" s="8" t="s">
        <v>758</v>
      </c>
      <c r="C239" s="8" t="s">
        <v>223</v>
      </c>
      <c r="D239" s="8" t="s">
        <v>148</v>
      </c>
      <c r="E239" s="7" t="s">
        <v>641</v>
      </c>
      <c r="F239" s="7" t="s">
        <v>25</v>
      </c>
      <c r="G239" s="7" t="n">
        <v>21</v>
      </c>
      <c r="H239" s="8" t="s">
        <v>119</v>
      </c>
      <c r="I239" s="8" t="s">
        <v>119</v>
      </c>
      <c r="J239" s="8" t="s">
        <v>28</v>
      </c>
      <c r="K239" s="8" t="s">
        <v>29</v>
      </c>
      <c r="L239" s="8" t="s">
        <v>30</v>
      </c>
      <c r="M239" s="7" t="n">
        <v>7</v>
      </c>
      <c r="N239" s="9" t="n">
        <v>110.43</v>
      </c>
      <c r="O239" s="10" t="n">
        <v>0</v>
      </c>
      <c r="P239" s="9" t="n">
        <v>773</v>
      </c>
      <c r="Q239" s="9" t="n">
        <v>306.35</v>
      </c>
      <c r="R239" s="8" t="s">
        <v>72</v>
      </c>
      <c r="S239" s="8" t="s">
        <v>41</v>
      </c>
    </row>
    <row r="240" customFormat="false" ht="15" hidden="false" customHeight="true" outlineLevel="0" collapsed="false">
      <c r="A240" s="11" t="s">
        <v>782</v>
      </c>
      <c r="B240" s="12" t="s">
        <v>783</v>
      </c>
      <c r="C240" s="12" t="s">
        <v>456</v>
      </c>
      <c r="D240" s="12" t="s">
        <v>174</v>
      </c>
      <c r="E240" s="11" t="s">
        <v>722</v>
      </c>
      <c r="F240" s="11" t="s">
        <v>47</v>
      </c>
      <c r="G240" s="11" t="n">
        <v>27</v>
      </c>
      <c r="H240" s="12" t="s">
        <v>141</v>
      </c>
      <c r="I240" s="12" t="s">
        <v>142</v>
      </c>
      <c r="J240" s="12" t="s">
        <v>88</v>
      </c>
      <c r="K240" s="12" t="s">
        <v>112</v>
      </c>
      <c r="L240" s="12" t="s">
        <v>280</v>
      </c>
      <c r="M240" s="11" t="n">
        <v>5</v>
      </c>
      <c r="N240" s="13" t="n">
        <v>17.01</v>
      </c>
      <c r="O240" s="14" t="n">
        <v>0</v>
      </c>
      <c r="P240" s="13" t="n">
        <v>85.05</v>
      </c>
      <c r="Q240" s="13" t="n">
        <v>48.84</v>
      </c>
      <c r="R240" s="12" t="s">
        <v>72</v>
      </c>
      <c r="S240" s="12" t="s">
        <v>32</v>
      </c>
    </row>
    <row r="241" customFormat="false" ht="15" hidden="false" customHeight="true" outlineLevel="0" collapsed="false">
      <c r="A241" s="7" t="s">
        <v>784</v>
      </c>
      <c r="B241" s="8" t="s">
        <v>238</v>
      </c>
      <c r="C241" s="8" t="s">
        <v>785</v>
      </c>
      <c r="D241" s="8" t="s">
        <v>647</v>
      </c>
      <c r="E241" s="7" t="s">
        <v>155</v>
      </c>
      <c r="F241" s="7" t="s">
        <v>47</v>
      </c>
      <c r="G241" s="7" t="n">
        <v>25</v>
      </c>
      <c r="H241" s="8" t="s">
        <v>190</v>
      </c>
      <c r="I241" s="8" t="s">
        <v>142</v>
      </c>
      <c r="J241" s="8" t="s">
        <v>88</v>
      </c>
      <c r="K241" s="8" t="s">
        <v>61</v>
      </c>
      <c r="L241" s="8" t="s">
        <v>62</v>
      </c>
      <c r="M241" s="7" t="n">
        <v>2</v>
      </c>
      <c r="N241" s="9" t="n">
        <v>38.71</v>
      </c>
      <c r="O241" s="10" t="n">
        <v>0</v>
      </c>
      <c r="P241" s="9" t="n">
        <v>77.43</v>
      </c>
      <c r="Q241" s="9" t="n">
        <v>26.15</v>
      </c>
      <c r="R241" s="8" t="s">
        <v>53</v>
      </c>
      <c r="S241" s="8" t="s">
        <v>80</v>
      </c>
    </row>
    <row r="242" customFormat="false" ht="15" hidden="false" customHeight="true" outlineLevel="0" collapsed="false">
      <c r="A242" s="11" t="s">
        <v>786</v>
      </c>
      <c r="B242" s="12" t="s">
        <v>257</v>
      </c>
      <c r="C242" s="12" t="s">
        <v>787</v>
      </c>
      <c r="D242" s="12" t="s">
        <v>509</v>
      </c>
      <c r="E242" s="11" t="s">
        <v>85</v>
      </c>
      <c r="F242" s="11" t="s">
        <v>25</v>
      </c>
      <c r="G242" s="11" t="n">
        <v>34</v>
      </c>
      <c r="H242" s="12" t="s">
        <v>77</v>
      </c>
      <c r="I242" s="12" t="s">
        <v>78</v>
      </c>
      <c r="J242" s="12" t="s">
        <v>79</v>
      </c>
      <c r="K242" s="12" t="s">
        <v>61</v>
      </c>
      <c r="L242" s="12" t="s">
        <v>401</v>
      </c>
      <c r="M242" s="11" t="n">
        <v>7</v>
      </c>
      <c r="N242" s="13" t="n">
        <v>184.79</v>
      </c>
      <c r="O242" s="14" t="n">
        <v>0.05</v>
      </c>
      <c r="P242" s="13" t="n">
        <v>1228.86</v>
      </c>
      <c r="Q242" s="13" t="n">
        <v>372.69</v>
      </c>
      <c r="R242" s="12" t="s">
        <v>53</v>
      </c>
      <c r="S242" s="12" t="s">
        <v>63</v>
      </c>
    </row>
    <row r="243" customFormat="false" ht="15" hidden="false" customHeight="true" outlineLevel="0" collapsed="false">
      <c r="A243" s="7" t="s">
        <v>788</v>
      </c>
      <c r="B243" s="8" t="s">
        <v>789</v>
      </c>
      <c r="C243" s="8" t="s">
        <v>458</v>
      </c>
      <c r="D243" s="8" t="s">
        <v>556</v>
      </c>
      <c r="E243" s="7" t="s">
        <v>557</v>
      </c>
      <c r="F243" s="7" t="s">
        <v>25</v>
      </c>
      <c r="G243" s="7" t="n">
        <v>53</v>
      </c>
      <c r="H243" s="8" t="s">
        <v>26</v>
      </c>
      <c r="I243" s="8" t="s">
        <v>27</v>
      </c>
      <c r="J243" s="8" t="s">
        <v>28</v>
      </c>
      <c r="K243" s="8" t="s">
        <v>29</v>
      </c>
      <c r="L243" s="8" t="s">
        <v>605</v>
      </c>
      <c r="M243" s="7" t="n">
        <v>2</v>
      </c>
      <c r="N243" s="9" t="n">
        <v>53.06</v>
      </c>
      <c r="O243" s="10" t="n">
        <v>0</v>
      </c>
      <c r="P243" s="9" t="n">
        <v>106.11</v>
      </c>
      <c r="Q243" s="9" t="n">
        <v>45.29</v>
      </c>
      <c r="R243" s="8" t="s">
        <v>53</v>
      </c>
      <c r="S243" s="8" t="s">
        <v>120</v>
      </c>
    </row>
    <row r="244" customFormat="false" ht="15" hidden="false" customHeight="true" outlineLevel="0" collapsed="false">
      <c r="A244" s="11" t="s">
        <v>790</v>
      </c>
      <c r="B244" s="12" t="s">
        <v>385</v>
      </c>
      <c r="C244" s="12" t="s">
        <v>791</v>
      </c>
      <c r="D244" s="12" t="s">
        <v>271</v>
      </c>
      <c r="E244" s="11" t="s">
        <v>439</v>
      </c>
      <c r="F244" s="11" t="s">
        <v>25</v>
      </c>
      <c r="G244" s="11" t="n">
        <v>25</v>
      </c>
      <c r="H244" s="12" t="s">
        <v>266</v>
      </c>
      <c r="I244" s="12" t="s">
        <v>78</v>
      </c>
      <c r="J244" s="12" t="s">
        <v>79</v>
      </c>
      <c r="K244" s="12" t="s">
        <v>112</v>
      </c>
      <c r="L244" s="12" t="s">
        <v>462</v>
      </c>
      <c r="M244" s="11" t="n">
        <v>4</v>
      </c>
      <c r="N244" s="13" t="n">
        <v>36.42</v>
      </c>
      <c r="O244" s="14" t="n">
        <v>0</v>
      </c>
      <c r="P244" s="13" t="n">
        <v>145.67</v>
      </c>
      <c r="Q244" s="13" t="n">
        <v>83.72</v>
      </c>
      <c r="R244" s="12" t="s">
        <v>106</v>
      </c>
      <c r="S244" s="12" t="s">
        <v>54</v>
      </c>
    </row>
    <row r="245" customFormat="false" ht="15" hidden="false" customHeight="true" outlineLevel="0" collapsed="false">
      <c r="A245" s="7" t="s">
        <v>792</v>
      </c>
      <c r="B245" s="8" t="s">
        <v>646</v>
      </c>
      <c r="C245" s="8" t="s">
        <v>793</v>
      </c>
      <c r="D245" s="8" t="s">
        <v>94</v>
      </c>
      <c r="E245" s="7" t="s">
        <v>377</v>
      </c>
      <c r="F245" s="7" t="s">
        <v>47</v>
      </c>
      <c r="G245" s="7" t="n">
        <v>38</v>
      </c>
      <c r="H245" s="8" t="s">
        <v>38</v>
      </c>
      <c r="I245" s="8" t="s">
        <v>27</v>
      </c>
      <c r="J245" s="8" t="s">
        <v>28</v>
      </c>
      <c r="K245" s="8" t="s">
        <v>104</v>
      </c>
      <c r="L245" s="8" t="s">
        <v>213</v>
      </c>
      <c r="M245" s="7" t="n">
        <v>7</v>
      </c>
      <c r="N245" s="9" t="n">
        <v>22.03</v>
      </c>
      <c r="O245" s="10" t="n">
        <v>0.15</v>
      </c>
      <c r="P245" s="9" t="n">
        <v>131.1</v>
      </c>
      <c r="Q245" s="9" t="n">
        <v>53.64</v>
      </c>
      <c r="R245" s="8" t="s">
        <v>31</v>
      </c>
      <c r="S245" s="8" t="s">
        <v>90</v>
      </c>
    </row>
    <row r="246" customFormat="false" ht="15" hidden="false" customHeight="true" outlineLevel="0" collapsed="false">
      <c r="A246" s="11" t="s">
        <v>794</v>
      </c>
      <c r="B246" s="12" t="s">
        <v>599</v>
      </c>
      <c r="C246" s="12" t="s">
        <v>588</v>
      </c>
      <c r="D246" s="12" t="s">
        <v>100</v>
      </c>
      <c r="E246" s="11" t="s">
        <v>140</v>
      </c>
      <c r="F246" s="11" t="s">
        <v>47</v>
      </c>
      <c r="G246" s="11" t="n">
        <v>25</v>
      </c>
      <c r="H246" s="12" t="s">
        <v>86</v>
      </c>
      <c r="I246" s="12" t="s">
        <v>87</v>
      </c>
      <c r="J246" s="12" t="s">
        <v>88</v>
      </c>
      <c r="K246" s="12" t="s">
        <v>29</v>
      </c>
      <c r="L246" s="12" t="s">
        <v>244</v>
      </c>
      <c r="M246" s="11" t="n">
        <v>9</v>
      </c>
      <c r="N246" s="13" t="n">
        <v>56.83</v>
      </c>
      <c r="O246" s="14" t="n">
        <v>0.2</v>
      </c>
      <c r="P246" s="13" t="n">
        <v>409.17</v>
      </c>
      <c r="Q246" s="13" t="n">
        <v>125.16</v>
      </c>
      <c r="R246" s="12" t="s">
        <v>106</v>
      </c>
      <c r="S246" s="12" t="s">
        <v>54</v>
      </c>
    </row>
    <row r="247" customFormat="false" ht="15" hidden="false" customHeight="true" outlineLevel="0" collapsed="false">
      <c r="A247" s="7" t="s">
        <v>795</v>
      </c>
      <c r="B247" s="8" t="s">
        <v>93</v>
      </c>
      <c r="C247" s="8" t="s">
        <v>796</v>
      </c>
      <c r="D247" s="8" t="s">
        <v>132</v>
      </c>
      <c r="E247" s="7" t="s">
        <v>46</v>
      </c>
      <c r="F247" s="7" t="s">
        <v>47</v>
      </c>
      <c r="G247" s="7" t="n">
        <v>44</v>
      </c>
      <c r="H247" s="8" t="s">
        <v>102</v>
      </c>
      <c r="I247" s="8" t="s">
        <v>103</v>
      </c>
      <c r="J247" s="8" t="s">
        <v>28</v>
      </c>
      <c r="K247" s="8" t="s">
        <v>29</v>
      </c>
      <c r="L247" s="8" t="s">
        <v>382</v>
      </c>
      <c r="M247" s="7" t="n">
        <v>10</v>
      </c>
      <c r="N247" s="9" t="n">
        <v>29.05</v>
      </c>
      <c r="O247" s="10" t="n">
        <v>0.2</v>
      </c>
      <c r="P247" s="9" t="n">
        <v>232.36</v>
      </c>
      <c r="Q247" s="9" t="n">
        <v>80.74</v>
      </c>
      <c r="R247" s="8" t="s">
        <v>53</v>
      </c>
      <c r="S247" s="8" t="s">
        <v>80</v>
      </c>
    </row>
    <row r="248" customFormat="false" ht="15" hidden="false" customHeight="true" outlineLevel="0" collapsed="false">
      <c r="A248" s="11" t="s">
        <v>797</v>
      </c>
      <c r="B248" s="12" t="s">
        <v>309</v>
      </c>
      <c r="C248" s="12" t="s">
        <v>589</v>
      </c>
      <c r="D248" s="12" t="s">
        <v>290</v>
      </c>
      <c r="E248" s="11" t="s">
        <v>798</v>
      </c>
      <c r="F248" s="11" t="s">
        <v>25</v>
      </c>
      <c r="G248" s="11" t="n">
        <v>43</v>
      </c>
      <c r="H248" s="12" t="s">
        <v>125</v>
      </c>
      <c r="I248" s="12" t="s">
        <v>126</v>
      </c>
      <c r="J248" s="12" t="s">
        <v>88</v>
      </c>
      <c r="K248" s="12" t="s">
        <v>134</v>
      </c>
      <c r="L248" s="12" t="s">
        <v>207</v>
      </c>
      <c r="M248" s="11" t="n">
        <v>5</v>
      </c>
      <c r="N248" s="13" t="n">
        <v>15.17</v>
      </c>
      <c r="O248" s="14" t="n">
        <v>0.1</v>
      </c>
      <c r="P248" s="13" t="n">
        <v>68.26</v>
      </c>
      <c r="Q248" s="13" t="n">
        <v>39.17</v>
      </c>
      <c r="R248" s="12" t="s">
        <v>144</v>
      </c>
      <c r="S248" s="12" t="s">
        <v>41</v>
      </c>
    </row>
    <row r="249" customFormat="false" ht="15" hidden="false" customHeight="true" outlineLevel="0" collapsed="false">
      <c r="A249" s="7" t="s">
        <v>799</v>
      </c>
      <c r="B249" s="8" t="s">
        <v>409</v>
      </c>
      <c r="C249" s="8" t="s">
        <v>800</v>
      </c>
      <c r="D249" s="8" t="s">
        <v>117</v>
      </c>
      <c r="E249" s="7" t="s">
        <v>641</v>
      </c>
      <c r="F249" s="7" t="s">
        <v>47</v>
      </c>
      <c r="G249" s="7" t="n">
        <v>62</v>
      </c>
      <c r="H249" s="8" t="s">
        <v>69</v>
      </c>
      <c r="I249" s="8" t="s">
        <v>70</v>
      </c>
      <c r="J249" s="8" t="s">
        <v>50</v>
      </c>
      <c r="K249" s="8" t="s">
        <v>134</v>
      </c>
      <c r="L249" s="8" t="s">
        <v>267</v>
      </c>
      <c r="M249" s="7" t="n">
        <v>1</v>
      </c>
      <c r="N249" s="9" t="n">
        <v>21.67</v>
      </c>
      <c r="O249" s="10" t="n">
        <v>0.2</v>
      </c>
      <c r="P249" s="9" t="n">
        <v>17.34</v>
      </c>
      <c r="Q249" s="9" t="n">
        <v>8.79</v>
      </c>
      <c r="R249" s="8" t="s">
        <v>106</v>
      </c>
      <c r="S249" s="8" t="s">
        <v>54</v>
      </c>
    </row>
    <row r="250" customFormat="false" ht="15" hidden="false" customHeight="true" outlineLevel="0" collapsed="false">
      <c r="A250" s="11" t="s">
        <v>801</v>
      </c>
      <c r="B250" s="12" t="s">
        <v>403</v>
      </c>
      <c r="C250" s="12" t="s">
        <v>540</v>
      </c>
      <c r="D250" s="12" t="s">
        <v>410</v>
      </c>
      <c r="E250" s="11" t="s">
        <v>221</v>
      </c>
      <c r="F250" s="11" t="s">
        <v>47</v>
      </c>
      <c r="G250" s="11" t="n">
        <v>65</v>
      </c>
      <c r="H250" s="12" t="s">
        <v>86</v>
      </c>
      <c r="I250" s="12" t="s">
        <v>87</v>
      </c>
      <c r="J250" s="12" t="s">
        <v>88</v>
      </c>
      <c r="K250" s="12" t="s">
        <v>134</v>
      </c>
      <c r="L250" s="12" t="s">
        <v>178</v>
      </c>
      <c r="M250" s="11" t="n">
        <v>7</v>
      </c>
      <c r="N250" s="13" t="n">
        <v>21.84</v>
      </c>
      <c r="O250" s="14" t="n">
        <v>0</v>
      </c>
      <c r="P250" s="13" t="n">
        <v>152.88</v>
      </c>
      <c r="Q250" s="13" t="n">
        <v>73.59</v>
      </c>
      <c r="R250" s="12" t="s">
        <v>40</v>
      </c>
      <c r="S250" s="12" t="s">
        <v>96</v>
      </c>
    </row>
    <row r="251" customFormat="false" ht="15" hidden="false" customHeight="true" outlineLevel="0" collapsed="false">
      <c r="A251" s="7" t="s">
        <v>802</v>
      </c>
      <c r="B251" s="8" t="s">
        <v>99</v>
      </c>
      <c r="C251" s="8" t="s">
        <v>800</v>
      </c>
      <c r="D251" s="8" t="s">
        <v>325</v>
      </c>
      <c r="E251" s="7" t="s">
        <v>234</v>
      </c>
      <c r="F251" s="7" t="s">
        <v>25</v>
      </c>
      <c r="G251" s="7" t="n">
        <v>29</v>
      </c>
      <c r="H251" s="8" t="s">
        <v>141</v>
      </c>
      <c r="I251" s="8" t="s">
        <v>142</v>
      </c>
      <c r="J251" s="8" t="s">
        <v>88</v>
      </c>
      <c r="K251" s="8" t="s">
        <v>104</v>
      </c>
      <c r="L251" s="8" t="s">
        <v>229</v>
      </c>
      <c r="M251" s="7" t="n">
        <v>9</v>
      </c>
      <c r="N251" s="9" t="n">
        <v>60.68</v>
      </c>
      <c r="O251" s="10" t="n">
        <v>0.2</v>
      </c>
      <c r="P251" s="9" t="n">
        <v>436.9</v>
      </c>
      <c r="Q251" s="9" t="n">
        <v>209.28</v>
      </c>
      <c r="R251" s="8" t="s">
        <v>106</v>
      </c>
      <c r="S251" s="8" t="s">
        <v>32</v>
      </c>
    </row>
    <row r="252" customFormat="false" ht="15" hidden="false" customHeight="true" outlineLevel="0" collapsed="false">
      <c r="A252" s="11" t="s">
        <v>803</v>
      </c>
      <c r="B252" s="12" t="s">
        <v>804</v>
      </c>
      <c r="C252" s="12" t="s">
        <v>414</v>
      </c>
      <c r="D252" s="12" t="s">
        <v>336</v>
      </c>
      <c r="E252" s="11" t="s">
        <v>381</v>
      </c>
      <c r="F252" s="11" t="s">
        <v>25</v>
      </c>
      <c r="G252" s="11" t="n">
        <v>61</v>
      </c>
      <c r="H252" s="12" t="s">
        <v>69</v>
      </c>
      <c r="I252" s="12" t="s">
        <v>70</v>
      </c>
      <c r="J252" s="12" t="s">
        <v>50</v>
      </c>
      <c r="K252" s="12" t="s">
        <v>134</v>
      </c>
      <c r="L252" s="12" t="s">
        <v>207</v>
      </c>
      <c r="M252" s="11" t="n">
        <v>4</v>
      </c>
      <c r="N252" s="13" t="n">
        <v>14.39</v>
      </c>
      <c r="O252" s="14" t="n">
        <v>0.2</v>
      </c>
      <c r="P252" s="13" t="n">
        <v>46.06</v>
      </c>
      <c r="Q252" s="13" t="n">
        <v>24.97</v>
      </c>
      <c r="R252" s="12" t="s">
        <v>106</v>
      </c>
      <c r="S252" s="12" t="s">
        <v>96</v>
      </c>
    </row>
    <row r="253" customFormat="false" ht="15" hidden="false" customHeight="true" outlineLevel="0" collapsed="false">
      <c r="A253" s="7" t="s">
        <v>805</v>
      </c>
      <c r="B253" s="8" t="s">
        <v>257</v>
      </c>
      <c r="C253" s="8" t="s">
        <v>464</v>
      </c>
      <c r="D253" s="8" t="s">
        <v>84</v>
      </c>
      <c r="E253" s="7" t="s">
        <v>381</v>
      </c>
      <c r="F253" s="7" t="s">
        <v>25</v>
      </c>
      <c r="G253" s="7" t="n">
        <v>36</v>
      </c>
      <c r="H253" s="8" t="s">
        <v>163</v>
      </c>
      <c r="I253" s="8" t="s">
        <v>164</v>
      </c>
      <c r="J253" s="8" t="s">
        <v>79</v>
      </c>
      <c r="K253" s="8" t="s">
        <v>134</v>
      </c>
      <c r="L253" s="8" t="s">
        <v>191</v>
      </c>
      <c r="M253" s="7" t="n">
        <v>10</v>
      </c>
      <c r="N253" s="9" t="n">
        <v>48.17</v>
      </c>
      <c r="O253" s="10" t="n">
        <v>0</v>
      </c>
      <c r="P253" s="9" t="n">
        <v>481.74</v>
      </c>
      <c r="Q253" s="9" t="n">
        <v>229.3</v>
      </c>
      <c r="R253" s="8" t="s">
        <v>53</v>
      </c>
      <c r="S253" s="8" t="s">
        <v>32</v>
      </c>
    </row>
    <row r="254" customFormat="false" ht="15" hidden="false" customHeight="true" outlineLevel="0" collapsed="false">
      <c r="A254" s="11" t="s">
        <v>806</v>
      </c>
      <c r="B254" s="12" t="s">
        <v>188</v>
      </c>
      <c r="C254" s="12" t="s">
        <v>645</v>
      </c>
      <c r="D254" s="12" t="s">
        <v>637</v>
      </c>
      <c r="E254" s="11" t="s">
        <v>326</v>
      </c>
      <c r="F254" s="11" t="s">
        <v>47</v>
      </c>
      <c r="G254" s="11" t="n">
        <v>26</v>
      </c>
      <c r="H254" s="12" t="s">
        <v>184</v>
      </c>
      <c r="I254" s="12" t="s">
        <v>185</v>
      </c>
      <c r="J254" s="12" t="s">
        <v>88</v>
      </c>
      <c r="K254" s="12" t="s">
        <v>104</v>
      </c>
      <c r="L254" s="12" t="s">
        <v>105</v>
      </c>
      <c r="M254" s="11" t="n">
        <v>4</v>
      </c>
      <c r="N254" s="13" t="n">
        <v>86.19</v>
      </c>
      <c r="O254" s="14" t="n">
        <v>0.05</v>
      </c>
      <c r="P254" s="13" t="n">
        <v>327.51</v>
      </c>
      <c r="Q254" s="13" t="n">
        <v>138.28</v>
      </c>
      <c r="R254" s="12" t="s">
        <v>40</v>
      </c>
      <c r="S254" s="12" t="s">
        <v>32</v>
      </c>
    </row>
    <row r="255" customFormat="false" ht="15" hidden="false" customHeight="true" outlineLevel="0" collapsed="false">
      <c r="A255" s="7" t="s">
        <v>807</v>
      </c>
      <c r="B255" s="8" t="s">
        <v>425</v>
      </c>
      <c r="C255" s="8" t="s">
        <v>363</v>
      </c>
      <c r="D255" s="8" t="s">
        <v>211</v>
      </c>
      <c r="E255" s="7" t="s">
        <v>321</v>
      </c>
      <c r="F255" s="7" t="s">
        <v>25</v>
      </c>
      <c r="G255" s="7" t="n">
        <v>47</v>
      </c>
      <c r="H255" s="8" t="s">
        <v>86</v>
      </c>
      <c r="I255" s="8" t="s">
        <v>87</v>
      </c>
      <c r="J255" s="8" t="s">
        <v>88</v>
      </c>
      <c r="K255" s="8" t="s">
        <v>29</v>
      </c>
      <c r="L255" s="8" t="s">
        <v>261</v>
      </c>
      <c r="M255" s="7" t="n">
        <v>7</v>
      </c>
      <c r="N255" s="9" t="n">
        <v>54.37</v>
      </c>
      <c r="O255" s="10" t="n">
        <v>0.2</v>
      </c>
      <c r="P255" s="9" t="n">
        <v>304.46</v>
      </c>
      <c r="Q255" s="9" t="n">
        <v>108.69</v>
      </c>
      <c r="R255" s="8" t="s">
        <v>144</v>
      </c>
      <c r="S255" s="8" t="s">
        <v>120</v>
      </c>
    </row>
    <row r="256" customFormat="false" ht="15" hidden="false" customHeight="true" outlineLevel="0" collapsed="false">
      <c r="A256" s="11" t="s">
        <v>808</v>
      </c>
      <c r="B256" s="12" t="s">
        <v>137</v>
      </c>
      <c r="C256" s="12" t="s">
        <v>809</v>
      </c>
      <c r="D256" s="12" t="s">
        <v>233</v>
      </c>
      <c r="E256" s="11" t="s">
        <v>421</v>
      </c>
      <c r="F256" s="11" t="s">
        <v>47</v>
      </c>
      <c r="G256" s="11" t="n">
        <v>37</v>
      </c>
      <c r="H256" s="12" t="s">
        <v>119</v>
      </c>
      <c r="I256" s="12" t="s">
        <v>119</v>
      </c>
      <c r="J256" s="12" t="s">
        <v>28</v>
      </c>
      <c r="K256" s="12" t="s">
        <v>29</v>
      </c>
      <c r="L256" s="12" t="s">
        <v>382</v>
      </c>
      <c r="M256" s="11" t="n">
        <v>9</v>
      </c>
      <c r="N256" s="13" t="n">
        <v>31.24</v>
      </c>
      <c r="O256" s="14" t="n">
        <v>0.2</v>
      </c>
      <c r="P256" s="13" t="n">
        <v>224.96</v>
      </c>
      <c r="Q256" s="13" t="n">
        <v>97.09</v>
      </c>
      <c r="R256" s="12" t="s">
        <v>53</v>
      </c>
      <c r="S256" s="12" t="s">
        <v>73</v>
      </c>
    </row>
    <row r="257" customFormat="false" ht="15" hidden="false" customHeight="true" outlineLevel="0" collapsed="false">
      <c r="A257" s="7" t="s">
        <v>810</v>
      </c>
      <c r="B257" s="8" t="s">
        <v>123</v>
      </c>
      <c r="C257" s="8" t="s">
        <v>115</v>
      </c>
      <c r="D257" s="8" t="s">
        <v>277</v>
      </c>
      <c r="E257" s="7" t="s">
        <v>720</v>
      </c>
      <c r="F257" s="7" t="s">
        <v>25</v>
      </c>
      <c r="G257" s="7" t="n">
        <v>21</v>
      </c>
      <c r="H257" s="8" t="s">
        <v>86</v>
      </c>
      <c r="I257" s="8" t="s">
        <v>87</v>
      </c>
      <c r="J257" s="8" t="s">
        <v>88</v>
      </c>
      <c r="K257" s="8" t="s">
        <v>112</v>
      </c>
      <c r="L257" s="8" t="s">
        <v>113</v>
      </c>
      <c r="M257" s="7" t="n">
        <v>5</v>
      </c>
      <c r="N257" s="9" t="n">
        <v>27.81</v>
      </c>
      <c r="O257" s="10" t="n">
        <v>0.15</v>
      </c>
      <c r="P257" s="9" t="n">
        <v>118.2</v>
      </c>
      <c r="Q257" s="9" t="n">
        <v>65.21</v>
      </c>
      <c r="R257" s="8" t="s">
        <v>53</v>
      </c>
      <c r="S257" s="8" t="s">
        <v>96</v>
      </c>
    </row>
    <row r="258" customFormat="false" ht="15" hidden="false" customHeight="true" outlineLevel="0" collapsed="false">
      <c r="A258" s="11" t="s">
        <v>811</v>
      </c>
      <c r="B258" s="12" t="s">
        <v>526</v>
      </c>
      <c r="C258" s="12" t="s">
        <v>812</v>
      </c>
      <c r="D258" s="12" t="s">
        <v>271</v>
      </c>
      <c r="E258" s="11" t="s">
        <v>111</v>
      </c>
      <c r="F258" s="11" t="s">
        <v>25</v>
      </c>
      <c r="G258" s="11" t="n">
        <v>39</v>
      </c>
      <c r="H258" s="12" t="s">
        <v>163</v>
      </c>
      <c r="I258" s="12" t="s">
        <v>164</v>
      </c>
      <c r="J258" s="12" t="s">
        <v>79</v>
      </c>
      <c r="K258" s="12" t="s">
        <v>112</v>
      </c>
      <c r="L258" s="12" t="s">
        <v>170</v>
      </c>
      <c r="M258" s="11" t="n">
        <v>5</v>
      </c>
      <c r="N258" s="13" t="n">
        <v>19.08</v>
      </c>
      <c r="O258" s="14" t="n">
        <v>0.05</v>
      </c>
      <c r="P258" s="13" t="n">
        <v>90.61</v>
      </c>
      <c r="Q258" s="13" t="n">
        <v>52.29</v>
      </c>
      <c r="R258" s="12" t="s">
        <v>144</v>
      </c>
      <c r="S258" s="12" t="s">
        <v>120</v>
      </c>
    </row>
    <row r="259" customFormat="false" ht="15" hidden="false" customHeight="true" outlineLevel="0" collapsed="false">
      <c r="A259" s="7" t="s">
        <v>813</v>
      </c>
      <c r="B259" s="8" t="s">
        <v>814</v>
      </c>
      <c r="C259" s="8" t="s">
        <v>815</v>
      </c>
      <c r="D259" s="8" t="s">
        <v>233</v>
      </c>
      <c r="E259" s="7" t="s">
        <v>641</v>
      </c>
      <c r="F259" s="7" t="s">
        <v>25</v>
      </c>
      <c r="G259" s="7" t="n">
        <v>36</v>
      </c>
      <c r="H259" s="8" t="s">
        <v>348</v>
      </c>
      <c r="I259" s="8" t="s">
        <v>164</v>
      </c>
      <c r="J259" s="8" t="s">
        <v>79</v>
      </c>
      <c r="K259" s="8" t="s">
        <v>134</v>
      </c>
      <c r="L259" s="8" t="s">
        <v>178</v>
      </c>
      <c r="M259" s="7" t="n">
        <v>5</v>
      </c>
      <c r="N259" s="9" t="n">
        <v>23.76</v>
      </c>
      <c r="O259" s="10" t="n">
        <v>0.2</v>
      </c>
      <c r="P259" s="9" t="n">
        <v>95.05</v>
      </c>
      <c r="Q259" s="9" t="n">
        <v>55.57</v>
      </c>
      <c r="R259" s="8" t="s">
        <v>53</v>
      </c>
      <c r="S259" s="8" t="s">
        <v>54</v>
      </c>
    </row>
  </sheetData>
  <mergeCells count="3">
    <mergeCell ref="A1:S1"/>
    <mergeCell ref="A2:D2"/>
    <mergeCell ref="F2:I2"/>
  </mergeCells>
  <conditionalFormatting sqref="Q5:Q259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P5:P259">
    <cfRule type="dataBar" priority="3">
      <dataBar showValue="1" minLength="10" maxLength="90">
        <cfvo type="min" val="0"/>
        <cfvo type="max" val="0"/>
        <color rgb="FF4472C4"/>
      </dataBar>
      <extLst>
        <ext xmlns:x14="http://schemas.microsoft.com/office/spreadsheetml/2009/9/main" uri="{B025F937-C7B1-47D3-B67F-A62EFF666E3E}">
          <x14:id>{9810E81B-34FE-4F44-87B6-1B602587CA5B}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10E81B-34FE-4F44-87B6-1B602587CA5B}">
            <x14:dataBar minLength="10" maxLength="90" axisPosition="none" gradient="true">
              <x14:cfvo type="min"/>
              <x14:cfvo type="max"/>
              <x14:negativeFillColor rgb="FF4472C4"/>
              <x14:axisColor rgb="FF000000"/>
            </x14:dataBar>
          </x14:cfRule>
          <xm:sqref>P5:P259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N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12" min="4" style="1" width="16"/>
  </cols>
  <sheetData>
    <row r="1" customFormat="false" ht="30" hidden="false" customHeight="true" outlineLevel="0" collapsed="false">
      <c r="A1" s="2" t="s">
        <v>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24" hidden="false" customHeight="true" outlineLevel="0" collapsed="false">
      <c r="A3" s="15" t="s">
        <v>817</v>
      </c>
      <c r="B3" s="15"/>
      <c r="C3" s="15"/>
      <c r="D3" s="15"/>
      <c r="E3" s="15"/>
      <c r="F3" s="15"/>
      <c r="G3" s="15"/>
    </row>
    <row r="4" customFormat="false" ht="15" hidden="false" customHeight="true" outlineLevel="0" collapsed="false">
      <c r="A4" s="16" t="s">
        <v>818</v>
      </c>
      <c r="B4" s="17" t="n">
        <f aca="true">TODAY()</f>
        <v>46152</v>
      </c>
      <c r="C4" s="18" t="s">
        <v>819</v>
      </c>
    </row>
    <row r="5" customFormat="false" ht="15" hidden="false" customHeight="true" outlineLevel="0" collapsed="false">
      <c r="A5" s="19" t="s">
        <v>820</v>
      </c>
      <c r="B5" s="20" t="n">
        <f aca="true">NOW()</f>
        <v>46152.7382839728</v>
      </c>
      <c r="C5" s="21" t="s">
        <v>821</v>
      </c>
    </row>
    <row r="6" customFormat="false" ht="15" hidden="false" customHeight="true" outlineLevel="0" collapsed="false">
      <c r="A6" s="16" t="s">
        <v>822</v>
      </c>
      <c r="B6" s="17" t="n">
        <f aca="true">EOMONTH(TODAY(),0)</f>
        <v>46173</v>
      </c>
      <c r="C6" s="18" t="s">
        <v>823</v>
      </c>
    </row>
    <row r="7" customFormat="false" ht="15" hidden="false" customHeight="true" outlineLevel="0" collapsed="false">
      <c r="A7" s="19" t="s">
        <v>824</v>
      </c>
      <c r="B7" s="20" t="n">
        <f aca="true">EOMONTH(TODAY(),-1)</f>
        <v>46142</v>
      </c>
      <c r="C7" s="21" t="s">
        <v>825</v>
      </c>
    </row>
    <row r="8" customFormat="false" ht="15" hidden="false" customHeight="true" outlineLevel="0" collapsed="false">
      <c r="A8" s="16" t="s">
        <v>826</v>
      </c>
      <c r="B8" s="17" t="n">
        <f aca="true">DATEDIF(DATE(2023,1,1),TODAY(),"D")</f>
        <v>1225</v>
      </c>
      <c r="C8" s="18" t="s">
        <v>827</v>
      </c>
    </row>
    <row r="9" customFormat="false" ht="15" hidden="false" customHeight="true" outlineLevel="0" collapsed="false">
      <c r="A9" s="19" t="s">
        <v>828</v>
      </c>
      <c r="B9" s="20" t="n">
        <f aca="true">DATEDIF(DATE(2023,1,1),TODAY(),"M")</f>
        <v>40</v>
      </c>
      <c r="C9" s="21" t="s">
        <v>829</v>
      </c>
    </row>
    <row r="10" customFormat="false" ht="15" hidden="false" customHeight="true" outlineLevel="0" collapsed="false">
      <c r="A10" s="16" t="s">
        <v>830</v>
      </c>
      <c r="B10" s="17" t="n">
        <f aca="true">DATEDIF(DATE(2023,1,1),TODAY(),"Y")</f>
        <v>3</v>
      </c>
      <c r="C10" s="18" t="s">
        <v>831</v>
      </c>
    </row>
    <row r="11" customFormat="false" ht="15" hidden="false" customHeight="true" outlineLevel="0" collapsed="false">
      <c r="A11" s="19" t="s">
        <v>832</v>
      </c>
      <c r="B11" s="22" t="n">
        <f aca="false">IFERROR(AVERAGE(IF(ISNUMBER(DATEVALUE(Raw_Data!C5:C259)-DATEVALUE(Raw_Data!B5:B259)),DATEVALUE(Raw_Data!C5:C259)-DATEVALUE(Raw_Data!B5:B259))),9)</f>
        <v>3</v>
      </c>
      <c r="C11" s="21" t="s">
        <v>827</v>
      </c>
    </row>
    <row r="14" customFormat="false" ht="24" hidden="false" customHeight="true" outlineLevel="0" collapsed="false">
      <c r="A14" s="23" t="s">
        <v>833</v>
      </c>
      <c r="B14" s="23"/>
      <c r="C14" s="23"/>
      <c r="D14" s="23"/>
      <c r="E14" s="23"/>
      <c r="F14" s="23"/>
      <c r="G14" s="23"/>
      <c r="H14" s="23"/>
    </row>
    <row r="15" customFormat="false" ht="15" hidden="false" customHeight="true" outlineLevel="0" collapsed="false">
      <c r="A15" s="24" t="s">
        <v>834</v>
      </c>
      <c r="B15" s="24" t="s">
        <v>835</v>
      </c>
      <c r="C15" s="24" t="s">
        <v>836</v>
      </c>
      <c r="D15" s="24" t="s">
        <v>837</v>
      </c>
      <c r="E15" s="24" t="s">
        <v>838</v>
      </c>
      <c r="F15" s="24" t="s">
        <v>839</v>
      </c>
    </row>
    <row r="16" customFormat="false" ht="15" hidden="false" customHeight="true" outlineLevel="0" collapsed="false">
      <c r="A16" s="25" t="s">
        <v>840</v>
      </c>
      <c r="B16" s="25" t="s">
        <v>51</v>
      </c>
      <c r="C16" s="26" t="n">
        <f aca="false">SUMIF(Raw_Data!K5:K259,B16,Raw_Data!P5:P259)</f>
        <v>191975.36</v>
      </c>
      <c r="D16" s="27" t="n">
        <f aca="false">COUNTIF(Raw_Data!K5:K259,B16)</f>
        <v>36</v>
      </c>
      <c r="E16" s="26" t="n">
        <f aca="false">IFERROR(C16/D16,0)</f>
        <v>5332.64888888889</v>
      </c>
      <c r="F16" s="28" t="n">
        <f aca="false">IFERROR(C16/SUM(C16:C21)*100,0)</f>
        <v>68.644550939793</v>
      </c>
    </row>
    <row r="17" customFormat="false" ht="15" hidden="false" customHeight="true" outlineLevel="0" collapsed="false">
      <c r="A17" s="19" t="s">
        <v>840</v>
      </c>
      <c r="B17" s="19" t="s">
        <v>104</v>
      </c>
      <c r="C17" s="29" t="n">
        <f aca="false">SUMIF(Raw_Data!K5:K259,B17,Raw_Data!P5:P259)</f>
        <v>17399.43</v>
      </c>
      <c r="D17" s="30" t="n">
        <f aca="false">COUNTIF(Raw_Data!K5:K259,B17)</f>
        <v>46</v>
      </c>
      <c r="E17" s="29" t="n">
        <f aca="false">IFERROR(C17/D17,0)</f>
        <v>378.24847826087</v>
      </c>
      <c r="F17" s="31" t="n">
        <f aca="false">IFERROR(C17/SUM(C16:C21)*100,0)</f>
        <v>6.22150706714842</v>
      </c>
    </row>
    <row r="18" customFormat="false" ht="15" hidden="false" customHeight="true" outlineLevel="0" collapsed="false">
      <c r="A18" s="25" t="s">
        <v>840</v>
      </c>
      <c r="B18" s="25" t="s">
        <v>61</v>
      </c>
      <c r="C18" s="26" t="n">
        <f aca="false">SUMIF(Raw_Data!K5:K259,B18,Raw_Data!P5:P259)</f>
        <v>45657.2</v>
      </c>
      <c r="D18" s="27" t="n">
        <f aca="false">COUNTIF(Raw_Data!K5:K259,B18)</f>
        <v>41</v>
      </c>
      <c r="E18" s="26" t="n">
        <f aca="false">IFERROR(C18/D18,0)</f>
        <v>1113.59024390244</v>
      </c>
      <c r="F18" s="28" t="n">
        <f aca="false">IFERROR(C18/SUM(C16:C21)*100,0)</f>
        <v>16.3256263260468</v>
      </c>
    </row>
    <row r="19" customFormat="false" ht="15" hidden="false" customHeight="true" outlineLevel="0" collapsed="false">
      <c r="A19" s="19" t="s">
        <v>840</v>
      </c>
      <c r="B19" s="19" t="s">
        <v>134</v>
      </c>
      <c r="C19" s="29" t="n">
        <f aca="false">SUMIF(Raw_Data!K5:K259,B19,Raw_Data!P5:P259)</f>
        <v>5537.11</v>
      </c>
      <c r="D19" s="30" t="n">
        <f aca="false">COUNTIF(Raw_Data!K5:K259,B19)</f>
        <v>44</v>
      </c>
      <c r="E19" s="29" t="n">
        <f aca="false">IFERROR(C19/D19,0)</f>
        <v>125.843409090909</v>
      </c>
      <c r="F19" s="31" t="n">
        <f aca="false">IFERROR(C19/SUM(C16:C21)*100,0)</f>
        <v>1.9799021575177</v>
      </c>
    </row>
    <row r="20" customFormat="false" ht="15" hidden="false" customHeight="true" outlineLevel="0" collapsed="false">
      <c r="A20" s="25" t="s">
        <v>840</v>
      </c>
      <c r="B20" s="25" t="s">
        <v>29</v>
      </c>
      <c r="C20" s="26" t="n">
        <f aca="false">SUMIF(Raw_Data!K5:K259,B20,Raw_Data!P5:P259)</f>
        <v>13664.27</v>
      </c>
      <c r="D20" s="27" t="n">
        <f aca="false">COUNTIF(Raw_Data!K5:K259,B20)</f>
        <v>46</v>
      </c>
      <c r="E20" s="26" t="n">
        <f aca="false">IFERROR(C20/D20,0)</f>
        <v>297.049347826087</v>
      </c>
      <c r="F20" s="28" t="n">
        <f aca="false">IFERROR(C20/SUM(C16:C21)*100,0)</f>
        <v>4.88592743396906</v>
      </c>
    </row>
    <row r="21" customFormat="false" ht="15" hidden="false" customHeight="true" outlineLevel="0" collapsed="false">
      <c r="A21" s="19" t="s">
        <v>840</v>
      </c>
      <c r="B21" s="19" t="s">
        <v>112</v>
      </c>
      <c r="C21" s="29" t="n">
        <f aca="false">SUMIF(Raw_Data!K5:K259,B21,Raw_Data!P5:P259)</f>
        <v>5432.47</v>
      </c>
      <c r="D21" s="30" t="n">
        <f aca="false">COUNTIF(Raw_Data!K5:K259,B21)</f>
        <v>42</v>
      </c>
      <c r="E21" s="29" t="n">
        <f aca="false">IFERROR(C21/D21,0)</f>
        <v>129.344523809524</v>
      </c>
      <c r="F21" s="31" t="n">
        <f aca="false">IFERROR(C21/SUM(C16:C21)*100,0)</f>
        <v>1.94248607552499</v>
      </c>
    </row>
    <row r="23" customFormat="false" ht="15" hidden="false" customHeight="true" outlineLevel="0" collapsed="false">
      <c r="A23" s="19" t="s">
        <v>10</v>
      </c>
      <c r="B23" s="19" t="s">
        <v>28</v>
      </c>
      <c r="C23" s="29" t="n">
        <f aca="false">SUMIF(Raw_Data!J5:J259,B23,Raw_Data!P5:P259)</f>
        <v>73693.55</v>
      </c>
      <c r="D23" s="30" t="n">
        <f aca="false">COUNTIF(Raw_Data!J5:J259,B23)</f>
        <v>56</v>
      </c>
      <c r="E23" s="29" t="n">
        <f aca="false">IFERROR(C23/D23,0)</f>
        <v>1315.95625</v>
      </c>
      <c r="F23" s="31" t="n">
        <f aca="false">IFERROR(C23/SUM(C23:C26)*100,0)</f>
        <v>26.3505725261262</v>
      </c>
    </row>
    <row r="24" customFormat="false" ht="15" hidden="false" customHeight="true" outlineLevel="0" collapsed="false">
      <c r="A24" s="16" t="s">
        <v>10</v>
      </c>
      <c r="B24" s="16" t="s">
        <v>88</v>
      </c>
      <c r="C24" s="32" t="n">
        <f aca="false">SUMIF(Raw_Data!J5:J259,B24,Raw_Data!P5:P259)</f>
        <v>77102.86</v>
      </c>
      <c r="D24" s="33" t="n">
        <f aca="false">COUNTIF(Raw_Data!J5:J259,B24)</f>
        <v>65</v>
      </c>
      <c r="E24" s="32" t="n">
        <f aca="false">IFERROR(C24/D24,0)</f>
        <v>1186.19784615385</v>
      </c>
      <c r="F24" s="34" t="n">
        <f aca="false">IFERROR(C24/SUM(C24:C27)*100,0)</f>
        <v>37.433608180984</v>
      </c>
    </row>
    <row r="25" customFormat="false" ht="15" hidden="false" customHeight="true" outlineLevel="0" collapsed="false">
      <c r="A25" s="19" t="s">
        <v>10</v>
      </c>
      <c r="B25" s="19" t="s">
        <v>50</v>
      </c>
      <c r="C25" s="29" t="n">
        <f aca="false">SUMIF(Raw_Data!J5:J259,B25,Raw_Data!P5:P259)</f>
        <v>78372.68</v>
      </c>
      <c r="D25" s="30" t="n">
        <f aca="false">COUNTIF(Raw_Data!J5:J259,B25)</f>
        <v>74</v>
      </c>
      <c r="E25" s="29" t="n">
        <f aca="false">IFERROR(C25/D25,0)</f>
        <v>1059.09027027027</v>
      </c>
      <c r="F25" s="31" t="n">
        <f aca="false">IFERROR(C25/SUM(C25:C28)*100,0)</f>
        <v>60.8155712336122</v>
      </c>
    </row>
    <row r="26" customFormat="false" ht="15" hidden="false" customHeight="true" outlineLevel="0" collapsed="false">
      <c r="A26" s="16" t="s">
        <v>10</v>
      </c>
      <c r="B26" s="16" t="s">
        <v>79</v>
      </c>
      <c r="C26" s="32" t="n">
        <f aca="false">SUMIF(Raw_Data!J5:J259,B26,Raw_Data!P5:P259)</f>
        <v>50496.75</v>
      </c>
      <c r="D26" s="33" t="n">
        <f aca="false">COUNTIF(Raw_Data!J5:J259,B26)</f>
        <v>60</v>
      </c>
      <c r="E26" s="32" t="n">
        <f aca="false">IFERROR(C26/D26,0)</f>
        <v>841.6125</v>
      </c>
      <c r="F26" s="34" t="n">
        <f aca="false">IFERROR(C26/SUM(C26:C29)*100,0)</f>
        <v>100</v>
      </c>
    </row>
    <row r="29" customFormat="false" ht="24" hidden="false" customHeight="true" outlineLevel="0" collapsed="false">
      <c r="A29" s="35" t="s">
        <v>841</v>
      </c>
      <c r="B29" s="35"/>
      <c r="C29" s="35"/>
      <c r="D29" s="35"/>
      <c r="E29" s="35"/>
      <c r="F29" s="35"/>
      <c r="G29" s="35"/>
      <c r="H29" s="35"/>
    </row>
    <row r="30" customFormat="false" ht="15" hidden="false" customHeight="true" outlineLevel="0" collapsed="false">
      <c r="A30" s="36" t="s">
        <v>842</v>
      </c>
      <c r="B30" s="37" t="str">
        <f aca="false">Raw_Data!D5</f>
        <v>Meera Chopra</v>
      </c>
      <c r="C30" s="38" t="s">
        <v>843</v>
      </c>
    </row>
    <row r="31" customFormat="false" ht="15" hidden="false" customHeight="true" outlineLevel="0" collapsed="false">
      <c r="A31" s="19" t="s">
        <v>844</v>
      </c>
      <c r="B31" s="39" t="str">
        <f aca="false">LEFT(Raw_Data!D5,FIND(" ",Raw_Data!D5)-1)</f>
        <v>Meera</v>
      </c>
      <c r="C31" s="21" t="s">
        <v>845</v>
      </c>
    </row>
    <row r="32" customFormat="false" ht="15" hidden="false" customHeight="true" outlineLevel="0" collapsed="false">
      <c r="A32" s="36" t="s">
        <v>846</v>
      </c>
      <c r="B32" s="37" t="str">
        <f aca="false">RIGHT(Raw_Data!D5,LEN(Raw_Data!D5)-FIND(" ",Raw_Data!D5))</f>
        <v>Chopra</v>
      </c>
      <c r="C32" s="38" t="s">
        <v>847</v>
      </c>
    </row>
    <row r="33" customFormat="false" ht="15" hidden="false" customHeight="true" outlineLevel="0" collapsed="false">
      <c r="A33" s="19" t="s">
        <v>848</v>
      </c>
      <c r="B33" s="39" t="str">
        <f aca="false">MID(Raw_Data!D5,3,4)</f>
        <v>era </v>
      </c>
      <c r="C33" s="21" t="s">
        <v>849</v>
      </c>
    </row>
    <row r="34" customFormat="false" ht="15" hidden="false" customHeight="true" outlineLevel="0" collapsed="false">
      <c r="A34" s="36" t="s">
        <v>850</v>
      </c>
      <c r="B34" s="37" t="str">
        <f aca="false">UPPER(LEFT(Raw_Data!D5,1)&amp;LEFT(RIGHT(Raw_Data!D5,LEN(Raw_Data!D5)-FIND(" ",Raw_Data!D5)),1))</f>
        <v>MC</v>
      </c>
      <c r="C34" s="38" t="s">
        <v>851</v>
      </c>
    </row>
    <row r="35" customFormat="false" ht="15" hidden="false" customHeight="true" outlineLevel="0" collapsed="false">
      <c r="A35" s="19" t="s">
        <v>852</v>
      </c>
      <c r="B35" s="39" t="str">
        <f aca="false">CONCATENATE("Most Frequent Product: ",INDEX(Raw_Data!L5:L259,MATCH(MAX(COUNTIF(Raw_Data!L5:L259,Raw_Data!L5:L259)),COUNTIF(Raw_Data!L5:L259,Raw_Data!L5:L259),0)))</f>
        <v>Most Frequent Product: Yoga Mat</v>
      </c>
      <c r="C35" s="21" t="s">
        <v>853</v>
      </c>
    </row>
    <row r="36" customFormat="false" ht="15" hidden="false" customHeight="true" outlineLevel="0" collapsed="false">
      <c r="A36" s="36" t="s">
        <v>854</v>
      </c>
      <c r="B36" s="37" t="str">
        <f aca="true">TEXT(TODAY(),"MMMM DD, YYYY")</f>
        <v>May 10, 2026</v>
      </c>
      <c r="C36" s="38" t="s">
        <v>855</v>
      </c>
    </row>
    <row r="37" customFormat="false" ht="15" hidden="false" customHeight="true" outlineLevel="0" collapsed="false">
      <c r="A37" s="19" t="s">
        <v>856</v>
      </c>
      <c r="B37" s="39" t="str">
        <f aca="false">LEFT(Raw_Data!K5,3)&amp;"-"&amp;Raw_Data!E5</f>
        <v>Spo-CUST1041</v>
      </c>
      <c r="C37" s="21" t="s">
        <v>857</v>
      </c>
    </row>
    <row r="40" customFormat="false" ht="24" hidden="false" customHeight="true" outlineLevel="0" collapsed="false">
      <c r="A40" s="15" t="s">
        <v>858</v>
      </c>
      <c r="B40" s="15"/>
      <c r="C40" s="15"/>
      <c r="D40" s="15"/>
      <c r="E40" s="15"/>
      <c r="F40" s="15"/>
      <c r="G40" s="15"/>
      <c r="H40" s="15"/>
    </row>
    <row r="41" customFormat="false" ht="15" hidden="false" customHeight="true" outlineLevel="0" collapsed="false">
      <c r="A41" s="19" t="s">
        <v>859</v>
      </c>
      <c r="B41" s="22" t="str">
        <f aca="false">CONCATENATE("Category: ",INDEX(Raw_Data!K5:K259,MATCH(MAX(SUMIF(Raw_Data!K5:K259,Raw_Data!K5:K259,Raw_Data!P5:P259)),SUMIF(Raw_Data!K5:K259,Raw_Data!K5:K259,Raw_Data!P5:P259),0)))</f>
        <v>Category: Sports</v>
      </c>
      <c r="C41" s="21" t="s">
        <v>4</v>
      </c>
    </row>
    <row r="42" customFormat="false" ht="15" hidden="false" customHeight="true" outlineLevel="0" collapsed="false">
      <c r="A42" s="16" t="s">
        <v>860</v>
      </c>
      <c r="B42" s="40" t="str">
        <f aca="false">IFERROR(INDEX(Raw_Data!L5:L259,MATCH(MAX(COUNTIF(Raw_Data!L5:L259,Raw_Data!L5:L259)),COUNTIF(Raw_Data!L5:L259,Raw_Data!L5:L259),0)),"N/A")</f>
        <v>Headphones</v>
      </c>
      <c r="C42" s="18" t="s">
        <v>16</v>
      </c>
    </row>
    <row r="43" customFormat="false" ht="15" hidden="false" customHeight="true" outlineLevel="0" collapsed="false">
      <c r="A43" s="19" t="s">
        <v>861</v>
      </c>
      <c r="B43" s="22" t="str">
        <f aca="false">INDEX(Raw_Data!L5:L259,MATCH(MAX(COUNTIF(Raw_Data!L5:L259,Raw_Data!L5:L259)),COUNTIF(Raw_Data!L5:L259,Raw_Data!L5:L259),0))</f>
        <v>Tablet</v>
      </c>
      <c r="C43" s="21" t="s">
        <v>862</v>
      </c>
    </row>
    <row r="44" customFormat="false" ht="15" hidden="false" customHeight="true" outlineLevel="0" collapsed="false">
      <c r="A44" s="16" t="s">
        <v>863</v>
      </c>
      <c r="B44" s="40" t="str">
        <f aca="false">INDEX(Raw_Data!D5:D259,MATCH(MAX(COUNTIF(Raw_Data!D5:D259,Raw_Data!D5:D259)),COUNTIF(Raw_Data!D5:D259,Raw_Data!D5:D259),0))</f>
        <v>Rohan Verma</v>
      </c>
      <c r="C44" s="18" t="s">
        <v>864</v>
      </c>
    </row>
    <row r="45" customFormat="false" ht="15" hidden="false" customHeight="true" outlineLevel="0" collapsed="false">
      <c r="A45" s="19" t="s">
        <v>865</v>
      </c>
      <c r="B45" s="22" t="n">
        <f aca="false">SUMPRODUCT(1/COUNTIF(Raw_Data!L5:L259,Raw_Data!L5:L259))</f>
        <v>48</v>
      </c>
      <c r="C45" s="21" t="s">
        <v>866</v>
      </c>
    </row>
    <row r="46" customFormat="false" ht="15" hidden="false" customHeight="true" outlineLevel="0" collapsed="false">
      <c r="A46" s="16" t="s">
        <v>867</v>
      </c>
      <c r="B46" s="40" t="str">
        <f aca="false">INDEX(Raw_Data!H5:H259,MATCH(MAX(Raw_Data!P5:P259),Raw_Data!P5:P259,0))</f>
        <v>Coimbatore</v>
      </c>
      <c r="C46" s="18" t="s">
        <v>868</v>
      </c>
    </row>
    <row r="49" customFormat="false" ht="24" hidden="false" customHeight="true" outlineLevel="0" collapsed="false">
      <c r="A49" s="41" t="s">
        <v>869</v>
      </c>
      <c r="B49" s="41"/>
      <c r="C49" s="41"/>
      <c r="D49" s="41"/>
      <c r="E49" s="41"/>
      <c r="F49" s="41"/>
      <c r="G49" s="41"/>
      <c r="H49" s="41"/>
      <c r="I49" s="41"/>
    </row>
    <row r="50" customFormat="false" ht="15" hidden="false" customHeight="true" outlineLevel="0" collapsed="false">
      <c r="A50" s="42" t="s">
        <v>870</v>
      </c>
      <c r="B50" s="42" t="s">
        <v>4</v>
      </c>
      <c r="C50" s="42" t="s">
        <v>871</v>
      </c>
      <c r="D50" s="42" t="s">
        <v>872</v>
      </c>
      <c r="E50" s="42" t="s">
        <v>873</v>
      </c>
      <c r="F50" s="42" t="s">
        <v>17</v>
      </c>
      <c r="G50" s="42" t="s">
        <v>874</v>
      </c>
    </row>
    <row r="51" customFormat="false" ht="15" hidden="false" customHeight="true" outlineLevel="0" collapsed="false">
      <c r="A51" s="43" t="n">
        <v>1</v>
      </c>
      <c r="B51" s="44" t="s">
        <v>216</v>
      </c>
      <c r="C51" s="45" t="n">
        <f aca="false">SUMIF(Raw_Data!D5:D259,B51,Raw_Data!P5:P259)</f>
        <v>34146.12</v>
      </c>
      <c r="D51" s="46" t="n">
        <f aca="false">COUNTIF(Raw_Data!D5:D259,B51)</f>
        <v>2</v>
      </c>
      <c r="E51" s="45" t="n">
        <f aca="false">IFERROR(C51/D51,0)</f>
        <v>17073.06</v>
      </c>
      <c r="F51" s="45" t="n">
        <f aca="false">SUMIF(Raw_Data!D5:D259,B51,Raw_Data!Q5:Q259)</f>
        <v>7221.65</v>
      </c>
      <c r="G51" s="46" t="str">
        <f aca="false">IF(C51&gt;5000,"⭐ VIP",IF(C51&gt;3000,"🔥 Premium","Regular"))</f>
        <v>⭐ VIP</v>
      </c>
    </row>
    <row r="52" customFormat="false" ht="15" hidden="false" customHeight="true" outlineLevel="0" collapsed="false">
      <c r="A52" s="47" t="n">
        <v>2</v>
      </c>
      <c r="B52" s="48" t="s">
        <v>76</v>
      </c>
      <c r="C52" s="49" t="n">
        <f aca="false">SUMIF(Raw_Data!D5:D259,B52,Raw_Data!P5:P259)</f>
        <v>33639.19</v>
      </c>
      <c r="D52" s="50" t="n">
        <f aca="false">COUNTIF(Raw_Data!D5:D259,B52)</f>
        <v>4</v>
      </c>
      <c r="E52" s="49" t="n">
        <f aca="false">IFERROR(C52/D52,0)</f>
        <v>8409.7975</v>
      </c>
      <c r="F52" s="49" t="n">
        <f aca="false">SUMIF(Raw_Data!D5:D259,B52,Raw_Data!Q5:Q259)</f>
        <v>6319.57</v>
      </c>
      <c r="G52" s="50" t="str">
        <f aca="false">IF(C52&gt;5000,"⭐ VIP",IF(C52&gt;3000,"🔥 Premium","Regular"))</f>
        <v>⭐ VIP</v>
      </c>
    </row>
    <row r="53" customFormat="false" ht="15" hidden="false" customHeight="true" outlineLevel="0" collapsed="false">
      <c r="A53" s="43" t="n">
        <v>3</v>
      </c>
      <c r="B53" s="44" t="s">
        <v>637</v>
      </c>
      <c r="C53" s="45" t="n">
        <f aca="false">SUMIF(Raw_Data!D5:D259,B53,Raw_Data!P5:P259)</f>
        <v>20521.9</v>
      </c>
      <c r="D53" s="46" t="n">
        <f aca="false">COUNTIF(Raw_Data!D5:D259,B53)</f>
        <v>2</v>
      </c>
      <c r="E53" s="45" t="n">
        <f aca="false">IFERROR(C53/D53,0)</f>
        <v>10260.95</v>
      </c>
      <c r="F53" s="45" t="n">
        <f aca="false">SUMIF(Raw_Data!D5:D259,B53,Raw_Data!Q5:Q259)</f>
        <v>4538.4</v>
      </c>
      <c r="G53" s="46" t="str">
        <f aca="false">IF(C53&gt;5000,"⭐ VIP",IF(C53&gt;3000,"🔥 Premium","Regular"))</f>
        <v>⭐ VIP</v>
      </c>
    </row>
    <row r="54" customFormat="false" ht="15" hidden="false" customHeight="true" outlineLevel="0" collapsed="false">
      <c r="A54" s="47" t="n">
        <v>4</v>
      </c>
      <c r="B54" s="48" t="s">
        <v>168</v>
      </c>
      <c r="C54" s="49" t="n">
        <f aca="false">SUMIF(Raw_Data!D5:D259,B54,Raw_Data!P5:P259)</f>
        <v>19850.92</v>
      </c>
      <c r="D54" s="50" t="n">
        <f aca="false">COUNTIF(Raw_Data!D5:D259,B54)</f>
        <v>4</v>
      </c>
      <c r="E54" s="49" t="n">
        <f aca="false">IFERROR(C54/D54,0)</f>
        <v>4962.73</v>
      </c>
      <c r="F54" s="49" t="n">
        <f aca="false">SUMIF(Raw_Data!D5:D259,B54,Raw_Data!Q5:Q259)</f>
        <v>4120.65</v>
      </c>
      <c r="G54" s="50" t="str">
        <f aca="false">IF(C54&gt;5000,"⭐ VIP",IF(C54&gt;3000,"🔥 Premium","Regular"))</f>
        <v>⭐ VIP</v>
      </c>
    </row>
    <row r="55" customFormat="false" ht="15" hidden="false" customHeight="true" outlineLevel="0" collapsed="false">
      <c r="A55" s="43" t="n">
        <v>5</v>
      </c>
      <c r="B55" s="44" t="s">
        <v>423</v>
      </c>
      <c r="C55" s="45" t="n">
        <f aca="false">SUMIF(Raw_Data!D5:D259,B55,Raw_Data!P5:P259)</f>
        <v>17080.75</v>
      </c>
      <c r="D55" s="46" t="n">
        <f aca="false">COUNTIF(Raw_Data!D5:D259,B55)</f>
        <v>3</v>
      </c>
      <c r="E55" s="45" t="n">
        <f aca="false">IFERROR(C55/D55,0)</f>
        <v>5693.58333333333</v>
      </c>
      <c r="F55" s="45" t="n">
        <f aca="false">SUMIF(Raw_Data!D5:D259,B55,Raw_Data!Q5:Q259)</f>
        <v>3705.59</v>
      </c>
      <c r="G55" s="46" t="str">
        <f aca="false">IF(C55&gt;5000,"⭐ VIP",IF(C55&gt;3000,"🔥 Premium","Regular"))</f>
        <v>⭐ VIP</v>
      </c>
    </row>
    <row r="56" customFormat="false" ht="15" hidden="false" customHeight="true" outlineLevel="0" collapsed="false">
      <c r="A56" s="47" t="n">
        <v>6</v>
      </c>
      <c r="B56" s="48" t="s">
        <v>45</v>
      </c>
      <c r="C56" s="49" t="n">
        <f aca="false">SUMIF(Raw_Data!D5:D259,B56,Raw_Data!P5:P259)</f>
        <v>9596.44</v>
      </c>
      <c r="D56" s="50" t="n">
        <f aca="false">COUNTIF(Raw_Data!D5:D259,B56)</f>
        <v>4</v>
      </c>
      <c r="E56" s="49" t="n">
        <f aca="false">IFERROR(C56/D56,0)</f>
        <v>2399.11</v>
      </c>
      <c r="F56" s="49" t="n">
        <f aca="false">SUMIF(Raw_Data!D5:D259,B56,Raw_Data!Q5:Q259)</f>
        <v>2676.7</v>
      </c>
      <c r="G56" s="50" t="str">
        <f aca="false">IF(C56&gt;5000,"⭐ VIP",IF(C56&gt;3000,"🔥 Premium","Regular"))</f>
        <v>⭐ VIP</v>
      </c>
    </row>
    <row r="57" customFormat="false" ht="15" hidden="false" customHeight="true" outlineLevel="0" collapsed="false">
      <c r="A57" s="43" t="n">
        <v>7</v>
      </c>
      <c r="B57" s="44" t="s">
        <v>364</v>
      </c>
      <c r="C57" s="45" t="n">
        <f aca="false">SUMIF(Raw_Data!D5:D259,B57,Raw_Data!P5:P259)</f>
        <v>8218.25</v>
      </c>
      <c r="D57" s="46" t="n">
        <f aca="false">COUNTIF(Raw_Data!D5:D259,B57)</f>
        <v>4</v>
      </c>
      <c r="E57" s="45" t="n">
        <f aca="false">IFERROR(C57/D57,0)</f>
        <v>2054.5625</v>
      </c>
      <c r="F57" s="45" t="n">
        <f aca="false">SUMIF(Raw_Data!D5:D259,B57,Raw_Data!Q5:Q259)</f>
        <v>1847.79</v>
      </c>
      <c r="G57" s="46" t="str">
        <f aca="false">IF(C57&gt;5000,"⭐ VIP",IF(C57&gt;3000,"🔥 Premium","Regular"))</f>
        <v>⭐ VIP</v>
      </c>
    </row>
    <row r="58" customFormat="false" ht="15" hidden="false" customHeight="true" outlineLevel="0" collapsed="false">
      <c r="A58" s="47" t="n">
        <v>8</v>
      </c>
      <c r="B58" s="48" t="s">
        <v>94</v>
      </c>
      <c r="C58" s="49" t="n">
        <f aca="false">SUMIF(Raw_Data!D5:D259,B58,Raw_Data!P5:P259)</f>
        <v>6909.39</v>
      </c>
      <c r="D58" s="50" t="n">
        <f aca="false">COUNTIF(Raw_Data!D5:D259,B58)</f>
        <v>5</v>
      </c>
      <c r="E58" s="49" t="n">
        <f aca="false">IFERROR(C58/D58,0)</f>
        <v>1381.878</v>
      </c>
      <c r="F58" s="49" t="n">
        <f aca="false">SUMIF(Raw_Data!D5:D259,B58,Raw_Data!Q5:Q259)</f>
        <v>1668.51</v>
      </c>
      <c r="G58" s="50" t="str">
        <f aca="false">IF(C58&gt;5000,"⭐ VIP",IF(C58&gt;3000,"🔥 Premium","Regular"))</f>
        <v>⭐ VIP</v>
      </c>
    </row>
    <row r="59" customFormat="false" ht="15" hidden="false" customHeight="true" outlineLevel="0" collapsed="false">
      <c r="A59" s="43" t="n">
        <v>9</v>
      </c>
      <c r="B59" s="44" t="s">
        <v>290</v>
      </c>
      <c r="C59" s="45" t="n">
        <f aca="false">SUMIF(Raw_Data!D5:D259,B59,Raw_Data!P5:P259)</f>
        <v>6905.81</v>
      </c>
      <c r="D59" s="46" t="n">
        <f aca="false">COUNTIF(Raw_Data!D5:D259,B59)</f>
        <v>8</v>
      </c>
      <c r="E59" s="45" t="n">
        <f aca="false">IFERROR(C59/D59,0)</f>
        <v>863.22625</v>
      </c>
      <c r="F59" s="45" t="n">
        <f aca="false">SUMIF(Raw_Data!D5:D259,B59,Raw_Data!Q5:Q259)</f>
        <v>1860.39</v>
      </c>
      <c r="G59" s="46" t="str">
        <f aca="false">IF(C59&gt;5000,"⭐ VIP",IF(C59&gt;3000,"🔥 Premium","Regular"))</f>
        <v>⭐ VIP</v>
      </c>
    </row>
    <row r="60" customFormat="false" ht="15" hidden="false" customHeight="true" outlineLevel="0" collapsed="false">
      <c r="A60" s="47" t="n">
        <v>10</v>
      </c>
      <c r="B60" s="48" t="s">
        <v>139</v>
      </c>
      <c r="C60" s="49" t="n">
        <f aca="false">SUMIF(Raw_Data!D5:D259,B60,Raw_Data!P5:P259)</f>
        <v>5556.48</v>
      </c>
      <c r="D60" s="50" t="n">
        <f aca="false">COUNTIF(Raw_Data!D5:D259,B60)</f>
        <v>5</v>
      </c>
      <c r="E60" s="49" t="n">
        <f aca="false">IFERROR(C60/D60,0)</f>
        <v>1111.296</v>
      </c>
      <c r="F60" s="49" t="n">
        <f aca="false">SUMIF(Raw_Data!D5:D259,B60,Raw_Data!Q5:Q259)</f>
        <v>2097.05</v>
      </c>
      <c r="G60" s="50" t="str">
        <f aca="false">IF(C60&gt;5000,"⭐ VIP",IF(C60&gt;3000,"🔥 Premium","Regular"))</f>
        <v>⭐ VIP</v>
      </c>
    </row>
    <row r="62" customFormat="false" ht="24" hidden="false" customHeight="true" outlineLevel="0" collapsed="false">
      <c r="A62" s="51" t="s">
        <v>875</v>
      </c>
      <c r="B62" s="51"/>
      <c r="C62" s="51"/>
      <c r="D62" s="51"/>
      <c r="E62" s="51"/>
      <c r="F62" s="51"/>
      <c r="G62" s="51"/>
      <c r="H62" s="51"/>
      <c r="I62" s="51"/>
    </row>
    <row r="63" customFormat="false" ht="15" hidden="false" customHeight="true" outlineLevel="0" collapsed="false">
      <c r="A63" s="52" t="s">
        <v>876</v>
      </c>
      <c r="B63" s="52"/>
      <c r="C63" s="52"/>
      <c r="D63" s="52"/>
    </row>
    <row r="64" customFormat="false" ht="15" hidden="false" customHeight="true" outlineLevel="0" collapsed="false">
      <c r="A64" s="25" t="s">
        <v>877</v>
      </c>
      <c r="B64" s="53" t="n">
        <f aca="false">AVERAGE(Raw_Data!P5:P259)</f>
        <v>1096.72878431373</v>
      </c>
      <c r="C64" s="27"/>
    </row>
    <row r="65" customFormat="false" ht="15" hidden="false" customHeight="true" outlineLevel="0" collapsed="false">
      <c r="A65" s="19" t="s">
        <v>878</v>
      </c>
      <c r="B65" s="54" t="s">
        <v>879</v>
      </c>
      <c r="C65" s="30"/>
    </row>
    <row r="66" customFormat="false" ht="15" hidden="false" customHeight="true" outlineLevel="0" collapsed="false">
      <c r="A66" s="25" t="s">
        <v>880</v>
      </c>
      <c r="B66" s="55" t="n">
        <f aca="false">IFERROR(500000/B64,"N/A")</f>
        <v>455.901228408875</v>
      </c>
      <c r="C66" s="27"/>
    </row>
    <row r="67" customFormat="false" ht="15" hidden="false" customHeight="true" outlineLevel="0" collapsed="false">
      <c r="A67" s="19" t="s">
        <v>881</v>
      </c>
      <c r="B67" s="54" t="n">
        <f aca="false">SUM(Raw_Data!P5:P259)</f>
        <v>279665.84</v>
      </c>
      <c r="C67" s="30"/>
    </row>
    <row r="68" customFormat="false" ht="15" hidden="false" customHeight="true" outlineLevel="0" collapsed="false">
      <c r="A68" s="25" t="s">
        <v>882</v>
      </c>
      <c r="B68" s="53" t="n">
        <f aca="false">B65-B67</f>
        <v>220334.16</v>
      </c>
      <c r="C68" s="27"/>
    </row>
    <row r="69" customFormat="false" ht="15" hidden="false" customHeight="true" outlineLevel="0" collapsed="false">
      <c r="A69" s="19" t="s">
        <v>883</v>
      </c>
      <c r="B69" s="56" t="n">
        <f aca="false">AVERAGE(Raw_Data!O5:O259)</f>
        <v>0.0686274509803922</v>
      </c>
      <c r="C69" s="30"/>
    </row>
    <row r="70" customFormat="false" ht="15" hidden="false" customHeight="true" outlineLevel="0" collapsed="false">
      <c r="A70" s="25" t="s">
        <v>884</v>
      </c>
      <c r="B70" s="53" t="n">
        <f aca="false">SUMPRODUCT(Raw_Data!N5:N259*Raw_Data!M5:M259)</f>
        <v>292830.88</v>
      </c>
      <c r="C70" s="27"/>
    </row>
    <row r="71" customFormat="false" ht="15" hidden="false" customHeight="true" outlineLevel="0" collapsed="false">
      <c r="A71" s="19" t="s">
        <v>885</v>
      </c>
      <c r="B71" s="54" t="n">
        <f aca="false">B70-B67</f>
        <v>13165.04</v>
      </c>
      <c r="C71" s="30"/>
    </row>
    <row r="75" customFormat="false" ht="24" hidden="false" customHeight="true" outlineLevel="0" collapsed="false">
      <c r="A75" s="15" t="s">
        <v>886</v>
      </c>
      <c r="B75" s="15"/>
      <c r="C75" s="15"/>
      <c r="D75" s="15"/>
      <c r="E75" s="15"/>
      <c r="F75" s="15"/>
      <c r="G75" s="15"/>
      <c r="H75" s="15"/>
      <c r="I75" s="15"/>
    </row>
    <row r="76" customFormat="false" ht="15" hidden="false" customHeight="true" outlineLevel="0" collapsed="false">
      <c r="A76" s="57" t="s">
        <v>887</v>
      </c>
      <c r="B76" s="57" t="s">
        <v>888</v>
      </c>
      <c r="C76" s="57" t="s">
        <v>889</v>
      </c>
    </row>
    <row r="77" customFormat="false" ht="15" hidden="false" customHeight="true" outlineLevel="0" collapsed="false">
      <c r="A77" s="19" t="s">
        <v>890</v>
      </c>
      <c r="B77" s="22" t="n">
        <v>255</v>
      </c>
      <c r="C77" s="21" t="s">
        <v>891</v>
      </c>
    </row>
    <row r="78" customFormat="false" ht="15" hidden="false" customHeight="true" outlineLevel="0" collapsed="false">
      <c r="A78" s="16" t="s">
        <v>892</v>
      </c>
      <c r="B78" s="58" t="n">
        <v>279665.84</v>
      </c>
      <c r="C78" s="18" t="s">
        <v>893</v>
      </c>
    </row>
    <row r="79" customFormat="false" ht="15" hidden="false" customHeight="true" outlineLevel="0" collapsed="false">
      <c r="A79" s="19" t="s">
        <v>894</v>
      </c>
      <c r="B79" s="59" t="n">
        <v>72986.11</v>
      </c>
      <c r="C79" s="21" t="s">
        <v>893</v>
      </c>
    </row>
    <row r="80" customFormat="false" ht="15" hidden="false" customHeight="true" outlineLevel="0" collapsed="false">
      <c r="A80" s="16" t="s">
        <v>895</v>
      </c>
      <c r="B80" s="58" t="n">
        <v>0.2041</v>
      </c>
      <c r="C80" s="18" t="s">
        <v>896</v>
      </c>
    </row>
    <row r="81" customFormat="false" ht="15" hidden="false" customHeight="true" outlineLevel="0" collapsed="false">
      <c r="A81" s="19" t="s">
        <v>897</v>
      </c>
      <c r="B81" s="59" t="n">
        <v>62.36</v>
      </c>
      <c r="C81" s="21" t="s">
        <v>893</v>
      </c>
    </row>
    <row r="82" customFormat="false" ht="15" hidden="false" customHeight="true" outlineLevel="0" collapsed="false">
      <c r="A82" s="16" t="s">
        <v>898</v>
      </c>
      <c r="B82" s="58" t="n">
        <v>0.9796</v>
      </c>
      <c r="C82" s="18" t="s">
        <v>899</v>
      </c>
    </row>
    <row r="83" customFormat="false" ht="15" hidden="false" customHeight="true" outlineLevel="0" collapsed="false">
      <c r="A83" s="19" t="s">
        <v>900</v>
      </c>
      <c r="B83" s="59" t="n">
        <v>0.9898</v>
      </c>
      <c r="C83" s="21" t="s">
        <v>901</v>
      </c>
    </row>
    <row r="84" customFormat="false" ht="15" hidden="false" customHeight="true" outlineLevel="0" collapsed="false">
      <c r="A84" s="16" t="s">
        <v>902</v>
      </c>
      <c r="B84" s="58" t="n">
        <v>1082.94</v>
      </c>
      <c r="C84" s="18" t="s">
        <v>893</v>
      </c>
    </row>
    <row r="85" customFormat="false" ht="15" hidden="false" customHeight="true" outlineLevel="0" collapsed="false">
      <c r="A85" s="19" t="s">
        <v>903</v>
      </c>
      <c r="B85" s="22" t="s">
        <v>904</v>
      </c>
      <c r="C85" s="21"/>
    </row>
  </sheetData>
  <mergeCells count="9">
    <mergeCell ref="A1:N1"/>
    <mergeCell ref="A3:G3"/>
    <mergeCell ref="A14:H14"/>
    <mergeCell ref="A29:H29"/>
    <mergeCell ref="A40:H40"/>
    <mergeCell ref="A49:I49"/>
    <mergeCell ref="A62:I62"/>
    <mergeCell ref="A63:D63"/>
    <mergeCell ref="A75:I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8"/>
  </cols>
  <sheetData>
    <row r="1" customFormat="false" ht="30" hidden="false" customHeight="true" outlineLevel="0" collapsed="false">
      <c r="A1" s="60" t="s">
        <v>905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3" customFormat="false" ht="21.75" hidden="false" customHeight="true" outlineLevel="0" collapsed="false">
      <c r="A3" s="61" t="s">
        <v>906</v>
      </c>
      <c r="B3" s="61"/>
      <c r="C3" s="61"/>
      <c r="D3" s="61"/>
      <c r="E3" s="61"/>
      <c r="G3" s="62" t="s">
        <v>907</v>
      </c>
      <c r="H3" s="62"/>
      <c r="I3" s="62"/>
      <c r="J3" s="62"/>
      <c r="K3" s="62"/>
    </row>
    <row r="4" customFormat="false" ht="15" hidden="false" customHeight="true" outlineLevel="0" collapsed="false">
      <c r="A4" s="63" t="s">
        <v>10</v>
      </c>
      <c r="B4" s="63" t="s">
        <v>871</v>
      </c>
      <c r="C4" s="63" t="s">
        <v>908</v>
      </c>
      <c r="D4" s="63" t="s">
        <v>837</v>
      </c>
      <c r="E4" s="63" t="s">
        <v>909</v>
      </c>
      <c r="G4" s="64" t="s">
        <v>840</v>
      </c>
      <c r="H4" s="64" t="s">
        <v>16</v>
      </c>
      <c r="I4" s="64" t="s">
        <v>17</v>
      </c>
      <c r="J4" s="64" t="s">
        <v>837</v>
      </c>
      <c r="K4" s="64" t="s">
        <v>910</v>
      </c>
    </row>
    <row r="5" customFormat="false" ht="15" hidden="false" customHeight="true" outlineLevel="0" collapsed="false">
      <c r="A5" s="19" t="s">
        <v>28</v>
      </c>
      <c r="B5" s="29" t="n">
        <f aca="false">SUMIF(Raw_Data!J5:J259,A5,Raw_Data!P5:P259)</f>
        <v>73693.55</v>
      </c>
      <c r="C5" s="29" t="n">
        <f aca="false">SUMIF(Raw_Data!J5:J259,A5,Raw_Data!Q5:Q259)</f>
        <v>19191.1</v>
      </c>
      <c r="D5" s="30" t="n">
        <f aca="false">COUNTIF(Raw_Data!J5:J259,A5)</f>
        <v>56</v>
      </c>
      <c r="E5" s="65" t="n">
        <f aca="false">IFERROR(C5/B5,0)</f>
        <v>0.260417634921917</v>
      </c>
      <c r="G5" s="19" t="s">
        <v>51</v>
      </c>
      <c r="H5" s="29" t="n">
        <f aca="false">SUMIF(Raw_Data!K5:K259,G5,Raw_Data!P5:P259)</f>
        <v>191975.36</v>
      </c>
      <c r="I5" s="29" t="n">
        <f aca="false">SUMIF(Raw_Data!K5:K259,G5,Raw_Data!Q5:Q259)</f>
        <v>40044.97</v>
      </c>
      <c r="J5" s="30" t="n">
        <f aca="false">COUNTIF(Raw_Data!K5:K259,G5)</f>
        <v>36</v>
      </c>
      <c r="K5" s="29" t="n">
        <f aca="false">IFERROR(H5/J5,0)</f>
        <v>5332.64888888889</v>
      </c>
    </row>
    <row r="6" customFormat="false" ht="15" hidden="false" customHeight="true" outlineLevel="0" collapsed="false">
      <c r="A6" s="16" t="s">
        <v>88</v>
      </c>
      <c r="B6" s="32" t="n">
        <f aca="false">SUMIF(Raw_Data!J5:J259,A6,Raw_Data!P5:P259)</f>
        <v>77102.86</v>
      </c>
      <c r="C6" s="32" t="n">
        <f aca="false">SUMIF(Raw_Data!J5:J259,A6,Raw_Data!Q5:Q259)</f>
        <v>19678.02</v>
      </c>
      <c r="D6" s="33" t="n">
        <f aca="false">COUNTIF(Raw_Data!J5:J259,A6)</f>
        <v>65</v>
      </c>
      <c r="E6" s="66" t="n">
        <f aca="false">IFERROR(C6/B6,0)</f>
        <v>0.255217770132003</v>
      </c>
      <c r="G6" s="25" t="s">
        <v>104</v>
      </c>
      <c r="H6" s="26" t="n">
        <f aca="false">SUMIF(Raw_Data!K5:K259,G6,Raw_Data!P5:P259)</f>
        <v>17399.43</v>
      </c>
      <c r="I6" s="26" t="n">
        <f aca="false">SUMIF(Raw_Data!K5:K259,G6,Raw_Data!Q5:Q259)</f>
        <v>7304.39</v>
      </c>
      <c r="J6" s="27" t="n">
        <f aca="false">COUNTIF(Raw_Data!K5:K259,G6)</f>
        <v>46</v>
      </c>
      <c r="K6" s="26" t="n">
        <f aca="false">IFERROR(H6/J6,0)</f>
        <v>378.24847826087</v>
      </c>
    </row>
    <row r="7" customFormat="false" ht="15" hidden="false" customHeight="true" outlineLevel="0" collapsed="false">
      <c r="A7" s="19" t="s">
        <v>50</v>
      </c>
      <c r="B7" s="29" t="n">
        <f aca="false">SUMIF(Raw_Data!J5:J259,A7,Raw_Data!P5:P259)</f>
        <v>78372.68</v>
      </c>
      <c r="C7" s="29" t="n">
        <f aca="false">SUMIF(Raw_Data!J5:J259,A7,Raw_Data!Q5:Q259)</f>
        <v>19127.49</v>
      </c>
      <c r="D7" s="30" t="n">
        <f aca="false">COUNTIF(Raw_Data!J5:J259,A7)</f>
        <v>74</v>
      </c>
      <c r="E7" s="65" t="n">
        <f aca="false">IFERROR(C7/B7,0)</f>
        <v>0.244058133523059</v>
      </c>
      <c r="G7" s="19" t="s">
        <v>61</v>
      </c>
      <c r="H7" s="29" t="n">
        <f aca="false">SUMIF(Raw_Data!K5:K259,G7,Raw_Data!P5:P259)</f>
        <v>45657.2</v>
      </c>
      <c r="I7" s="29" t="n">
        <f aca="false">SUMIF(Raw_Data!K5:K259,G7,Raw_Data!Q5:Q259)</f>
        <v>14162.4</v>
      </c>
      <c r="J7" s="30" t="n">
        <f aca="false">COUNTIF(Raw_Data!K5:K259,G7)</f>
        <v>41</v>
      </c>
      <c r="K7" s="29" t="n">
        <f aca="false">IFERROR(H7/J7,0)</f>
        <v>1113.59024390244</v>
      </c>
    </row>
    <row r="8" customFormat="false" ht="15" hidden="false" customHeight="true" outlineLevel="0" collapsed="false">
      <c r="A8" s="16" t="s">
        <v>79</v>
      </c>
      <c r="B8" s="32" t="n">
        <f aca="false">SUMIF(Raw_Data!J5:J259,A8,Raw_Data!P5:P259)</f>
        <v>50496.75</v>
      </c>
      <c r="C8" s="32" t="n">
        <f aca="false">SUMIF(Raw_Data!J5:J259,A8,Raw_Data!Q5:Q259)</f>
        <v>14989.5</v>
      </c>
      <c r="D8" s="33" t="n">
        <f aca="false">COUNTIF(Raw_Data!J5:J259,A8)</f>
        <v>60</v>
      </c>
      <c r="E8" s="66" t="n">
        <f aca="false">IFERROR(C8/B8,0)</f>
        <v>0.296840885799581</v>
      </c>
      <c r="G8" s="25" t="s">
        <v>134</v>
      </c>
      <c r="H8" s="26" t="n">
        <f aca="false">SUMIF(Raw_Data!K5:K259,G8,Raw_Data!P5:P259)</f>
        <v>5537.11</v>
      </c>
      <c r="I8" s="26" t="n">
        <f aca="false">SUMIF(Raw_Data!K5:K259,G8,Raw_Data!Q5:Q259)</f>
        <v>3001.52</v>
      </c>
      <c r="J8" s="27" t="n">
        <f aca="false">COUNTIF(Raw_Data!K5:K259,G8)</f>
        <v>44</v>
      </c>
      <c r="K8" s="26" t="n">
        <f aca="false">IFERROR(H8/J8,0)</f>
        <v>125.843409090909</v>
      </c>
    </row>
    <row r="9" customFormat="false" ht="15" hidden="false" customHeight="true" outlineLevel="0" collapsed="false">
      <c r="A9" s="67" t="s">
        <v>911</v>
      </c>
      <c r="B9" s="68" t="n">
        <f aca="false">SUM(B5:B8)</f>
        <v>279665.84</v>
      </c>
      <c r="C9" s="68" t="n">
        <f aca="false">SUM(C5:C8)</f>
        <v>72986.11</v>
      </c>
      <c r="D9" s="69" t="n">
        <f aca="false">SUM(D5:D8)</f>
        <v>255</v>
      </c>
      <c r="E9" s="70" t="n">
        <f aca="false">IFERROR(C9/B9,0)</f>
        <v>0.260976134947336</v>
      </c>
      <c r="G9" s="19" t="s">
        <v>29</v>
      </c>
      <c r="H9" s="29" t="n">
        <f aca="false">SUMIF(Raw_Data!K5:K259,G9,Raw_Data!P5:P259)</f>
        <v>13664.27</v>
      </c>
      <c r="I9" s="29" t="n">
        <f aca="false">SUMIF(Raw_Data!K5:K259,G9,Raw_Data!Q5:Q259)</f>
        <v>5103.56</v>
      </c>
      <c r="J9" s="30" t="n">
        <f aca="false">COUNTIF(Raw_Data!K5:K259,G9)</f>
        <v>46</v>
      </c>
      <c r="K9" s="29" t="n">
        <f aca="false">IFERROR(H9/J9,0)</f>
        <v>297.049347826087</v>
      </c>
    </row>
    <row r="10" customFormat="false" ht="15" hidden="false" customHeight="true" outlineLevel="0" collapsed="false">
      <c r="G10" s="25" t="s">
        <v>112</v>
      </c>
      <c r="H10" s="26" t="n">
        <f aca="false">SUMIF(Raw_Data!K5:K259,G10,Raw_Data!P5:P259)</f>
        <v>5432.47</v>
      </c>
      <c r="I10" s="26" t="n">
        <f aca="false">SUMIF(Raw_Data!K5:K259,G10,Raw_Data!Q5:Q259)</f>
        <v>3369.27</v>
      </c>
      <c r="J10" s="27" t="n">
        <f aca="false">COUNTIF(Raw_Data!K5:K259,G10)</f>
        <v>42</v>
      </c>
      <c r="K10" s="26" t="n">
        <f aca="false">IFERROR(H10/J10,0)</f>
        <v>129.344523809524</v>
      </c>
    </row>
    <row r="11" customFormat="false" ht="15" hidden="false" customHeight="true" outlineLevel="0" collapsed="false">
      <c r="G11" s="67" t="s">
        <v>911</v>
      </c>
      <c r="H11" s="71" t="n">
        <f aca="false">SUM(H5:H10)</f>
        <v>279665.84</v>
      </c>
      <c r="I11" s="71" t="n">
        <f aca="false">SUM(I5:I10)</f>
        <v>72986.11</v>
      </c>
      <c r="J11" s="67" t="n">
        <f aca="false">SUM(J5:J10)</f>
        <v>255</v>
      </c>
      <c r="K11" s="72" t="n">
        <f aca="false">IFERROR(H11/J11,0)</f>
        <v>1096.72878431373</v>
      </c>
    </row>
    <row r="13" customFormat="false" ht="21.75" hidden="false" customHeight="true" outlineLevel="0" collapsed="false">
      <c r="A13" s="73" t="s">
        <v>912</v>
      </c>
      <c r="B13" s="73"/>
      <c r="C13" s="73"/>
      <c r="D13" s="73"/>
      <c r="E13" s="73"/>
      <c r="F13" s="73"/>
      <c r="G13" s="73"/>
      <c r="I13" s="74" t="s">
        <v>913</v>
      </c>
      <c r="J13" s="74"/>
      <c r="K13" s="74"/>
      <c r="L13" s="74"/>
      <c r="M13" s="74"/>
    </row>
    <row r="14" customFormat="false" ht="15" hidden="false" customHeight="true" outlineLevel="0" collapsed="false">
      <c r="A14" s="75" t="s">
        <v>914</v>
      </c>
      <c r="B14" s="75" t="s">
        <v>16</v>
      </c>
      <c r="C14" s="75" t="s">
        <v>17</v>
      </c>
      <c r="D14" s="75" t="s">
        <v>837</v>
      </c>
      <c r="E14" s="75" t="s">
        <v>915</v>
      </c>
      <c r="F14" s="75" t="s">
        <v>916</v>
      </c>
      <c r="G14" s="75" t="s">
        <v>917</v>
      </c>
      <c r="I14" s="76" t="s">
        <v>18</v>
      </c>
      <c r="J14" s="76" t="s">
        <v>16</v>
      </c>
      <c r="K14" s="76" t="s">
        <v>837</v>
      </c>
      <c r="L14" s="76" t="s">
        <v>918</v>
      </c>
      <c r="M14" s="76" t="s">
        <v>839</v>
      </c>
    </row>
    <row r="15" customFormat="false" ht="15" hidden="false" customHeight="true" outlineLevel="0" collapsed="false">
      <c r="A15" s="30" t="s">
        <v>919</v>
      </c>
      <c r="B15" s="29" t="n">
        <f aca="false">SUMPRODUCT((MONTH(DATEVALUE(Raw_Data!B5:B259))=1)*(YEAR(DATEVALUE(Raw_Data!B5:B259))=2023)*Raw_Data!P5:P259)</f>
        <v>10940.37</v>
      </c>
      <c r="C15" s="29" t="n">
        <f aca="false">SUMPRODUCT((MONTH(DATEVALUE(Raw_Data!B5:B259))=1)*(YEAR(DATEVALUE(Raw_Data!B5:B259))=2023)*Raw_Data!Q5:Q259)</f>
        <v>3156.03</v>
      </c>
      <c r="D15" s="30" t="n">
        <f aca="false">SUMPRODUCT((MONTH(DATEVALUE(Raw_Data!B5:B259))=1)*(YEAR(DATEVALUE(Raw_Data!B5:B259))=2023)*1)</f>
        <v>19</v>
      </c>
      <c r="E15" s="30" t="s">
        <v>920</v>
      </c>
      <c r="F15" s="29" t="n">
        <f aca="false">B15</f>
        <v>10940.37</v>
      </c>
      <c r="G15" s="29" t="n">
        <f aca="false">IFERROR(B15/D15,0)</f>
        <v>575.808947368421</v>
      </c>
      <c r="I15" s="30" t="s">
        <v>31</v>
      </c>
      <c r="J15" s="29" t="n">
        <f aca="false">SUMIF(Raw_Data!R5:R259,I15,Raw_Data!P5:P259)</f>
        <v>91134.55</v>
      </c>
      <c r="K15" s="30" t="n">
        <f aca="false">COUNTIF(Raw_Data!R5:R259,I15)</f>
        <v>41</v>
      </c>
      <c r="L15" s="29" t="n">
        <f aca="false">IFERROR(J15/K15,0)</f>
        <v>2222.79390243902</v>
      </c>
      <c r="M15" s="77" t="n">
        <f aca="false">IFERROR(J15/SUM(J15:J20)*100,0)</f>
        <v>32.5869437611687</v>
      </c>
    </row>
    <row r="16" customFormat="false" ht="15" hidden="false" customHeight="true" outlineLevel="0" collapsed="false">
      <c r="A16" s="78" t="s">
        <v>921</v>
      </c>
      <c r="B16" s="79" t="n">
        <f aca="false">SUMPRODUCT((MONTH(DATEVALUE(Raw_Data!B5:B259))=2)*(YEAR(DATEVALUE(Raw_Data!B5:B259))=2023)*Raw_Data!P5:P259)</f>
        <v>9383.98</v>
      </c>
      <c r="C16" s="79" t="n">
        <f aca="false">SUMPRODUCT((MONTH(DATEVALUE(Raw_Data!B5:B259))=2)*(YEAR(DATEVALUE(Raw_Data!B5:B259))=2023)*Raw_Data!Q5:Q259)</f>
        <v>3118.33</v>
      </c>
      <c r="D16" s="78" t="n">
        <f aca="false">SUMPRODUCT((MONTH(DATEVALUE(Raw_Data!B5:B259))=2)*(YEAR(DATEVALUE(Raw_Data!B5:B259))=2023)*1)</f>
        <v>18</v>
      </c>
      <c r="E16" s="80" t="n">
        <f aca="false">IFERROR((B16-B15)/B15,0)</f>
        <v>-0.142261184950783</v>
      </c>
      <c r="F16" s="79" t="n">
        <f aca="false">F15+B16</f>
        <v>20324.35</v>
      </c>
      <c r="G16" s="79" t="n">
        <f aca="false">IFERROR(B16/D16,0)</f>
        <v>521.332222222222</v>
      </c>
      <c r="I16" s="81" t="s">
        <v>106</v>
      </c>
      <c r="J16" s="82" t="n">
        <f aca="false">SUMIF(Raw_Data!R5:R259,I16,Raw_Data!P5:P259)</f>
        <v>19354.49</v>
      </c>
      <c r="K16" s="81" t="n">
        <f aca="false">COUNTIF(Raw_Data!R5:R259,I16)</f>
        <v>47</v>
      </c>
      <c r="L16" s="82" t="n">
        <f aca="false">IFERROR(J16/K16,0)</f>
        <v>411.797659574468</v>
      </c>
      <c r="M16" s="83" t="n">
        <f aca="false">IFERROR(J16/SUM(J15:J20)*100,0)</f>
        <v>6.92057707155082</v>
      </c>
    </row>
    <row r="17" customFormat="false" ht="15" hidden="false" customHeight="true" outlineLevel="0" collapsed="false">
      <c r="A17" s="30" t="s">
        <v>922</v>
      </c>
      <c r="B17" s="29" t="n">
        <f aca="false">SUMPRODUCT((MONTH(DATEVALUE(Raw_Data!B5:B259))=3)*(YEAR(DATEVALUE(Raw_Data!B5:B259))=2023)*Raw_Data!P5:P259)</f>
        <v>63336.74</v>
      </c>
      <c r="C17" s="29" t="n">
        <f aca="false">SUMPRODUCT((MONTH(DATEVALUE(Raw_Data!B5:B259))=3)*(YEAR(DATEVALUE(Raw_Data!B5:B259))=2023)*Raw_Data!Q5:Q259)</f>
        <v>15371.07</v>
      </c>
      <c r="D17" s="30" t="n">
        <f aca="false">SUMPRODUCT((MONTH(DATEVALUE(Raw_Data!B5:B259))=3)*(YEAR(DATEVALUE(Raw_Data!B5:B259))=2023)*1)</f>
        <v>29</v>
      </c>
      <c r="E17" s="65" t="n">
        <f aca="false">IFERROR((B17-B16)/B16,0)</f>
        <v>5.74945385646602</v>
      </c>
      <c r="F17" s="29" t="n">
        <f aca="false">F16+B17</f>
        <v>83661.09</v>
      </c>
      <c r="G17" s="29" t="n">
        <f aca="false">IFERROR(B17/D17,0)</f>
        <v>2184.02551724138</v>
      </c>
      <c r="I17" s="30" t="s">
        <v>72</v>
      </c>
      <c r="J17" s="29" t="n">
        <f aca="false">SUMIF(Raw_Data!R5:R259,I17,Raw_Data!P5:P259)</f>
        <v>36700.65</v>
      </c>
      <c r="K17" s="30" t="n">
        <f aca="false">COUNTIF(Raw_Data!R5:R259,I17)</f>
        <v>35</v>
      </c>
      <c r="L17" s="29" t="n">
        <f aca="false">IFERROR(J17/K17,0)</f>
        <v>1048.59</v>
      </c>
      <c r="M17" s="77" t="n">
        <f aca="false">IFERROR(J17/SUM(J15:J20)*100,0)</f>
        <v>13.1230364065915</v>
      </c>
    </row>
    <row r="18" customFormat="false" ht="15" hidden="false" customHeight="true" outlineLevel="0" collapsed="false">
      <c r="A18" s="78" t="s">
        <v>923</v>
      </c>
      <c r="B18" s="79" t="n">
        <f aca="false">SUMPRODUCT((MONTH(DATEVALUE(Raw_Data!B5:B259))=4)*(YEAR(DATEVALUE(Raw_Data!B5:B259))=2023)*Raw_Data!P5:P259)</f>
        <v>5567.32</v>
      </c>
      <c r="C18" s="79" t="n">
        <f aca="false">SUMPRODUCT((MONTH(DATEVALUE(Raw_Data!B5:B259))=4)*(YEAR(DATEVALUE(Raw_Data!B5:B259))=2023)*Raw_Data!Q5:Q259)</f>
        <v>1739.9</v>
      </c>
      <c r="D18" s="78" t="n">
        <f aca="false">SUMPRODUCT((MONTH(DATEVALUE(Raw_Data!B5:B259))=4)*(YEAR(DATEVALUE(Raw_Data!B5:B259))=2023)*1)</f>
        <v>16</v>
      </c>
      <c r="E18" s="80" t="n">
        <f aca="false">IFERROR((B18-B17)/B17,0)</f>
        <v>-0.912099675480614</v>
      </c>
      <c r="F18" s="79" t="n">
        <f aca="false">F17+B18</f>
        <v>89228.41</v>
      </c>
      <c r="G18" s="79" t="n">
        <f aca="false">IFERROR(B18/D18,0)</f>
        <v>347.9575</v>
      </c>
      <c r="I18" s="81" t="s">
        <v>53</v>
      </c>
      <c r="J18" s="82" t="n">
        <f aca="false">SUMIF(Raw_Data!R5:R259,I18,Raw_Data!P5:P259)</f>
        <v>74030.07</v>
      </c>
      <c r="K18" s="81" t="n">
        <f aca="false">COUNTIF(Raw_Data!R5:R259,I18)</f>
        <v>50</v>
      </c>
      <c r="L18" s="82" t="n">
        <f aca="false">IFERROR(J18/K18,0)</f>
        <v>1480.6014</v>
      </c>
      <c r="M18" s="83" t="n">
        <f aca="false">IFERROR(J18/SUM(J15:J20)*100,0)</f>
        <v>26.4709018448588</v>
      </c>
    </row>
    <row r="19" customFormat="false" ht="15" hidden="false" customHeight="true" outlineLevel="0" collapsed="false">
      <c r="A19" s="30" t="s">
        <v>924</v>
      </c>
      <c r="B19" s="29" t="n">
        <f aca="false">SUMPRODUCT((MONTH(DATEVALUE(Raw_Data!B5:B259))=5)*(YEAR(DATEVALUE(Raw_Data!B5:B259))=2023)*Raw_Data!P5:P259)</f>
        <v>17176.35</v>
      </c>
      <c r="C19" s="29" t="n">
        <f aca="false">SUMPRODUCT((MONTH(DATEVALUE(Raw_Data!B5:B259))=5)*(YEAR(DATEVALUE(Raw_Data!B5:B259))=2023)*Raw_Data!Q5:Q259)</f>
        <v>4479.9</v>
      </c>
      <c r="D19" s="30" t="n">
        <f aca="false">SUMPRODUCT((MONTH(DATEVALUE(Raw_Data!B5:B259))=5)*(YEAR(DATEVALUE(Raw_Data!B5:B259))=2023)*1)</f>
        <v>26</v>
      </c>
      <c r="E19" s="65" t="n">
        <f aca="false">IFERROR((B19-B18)/B18,0)</f>
        <v>2.08520975981262</v>
      </c>
      <c r="F19" s="29" t="n">
        <f aca="false">F18+B19</f>
        <v>106404.76</v>
      </c>
      <c r="G19" s="29" t="n">
        <f aca="false">IFERROR(B19/D19,0)</f>
        <v>660.628846153846</v>
      </c>
      <c r="I19" s="30" t="s">
        <v>40</v>
      </c>
      <c r="J19" s="29" t="n">
        <f aca="false">SUMIF(Raw_Data!R5:R259,I19,Raw_Data!P5:P259)</f>
        <v>33547.47</v>
      </c>
      <c r="K19" s="30" t="n">
        <f aca="false">COUNTIF(Raw_Data!R5:R259,I19)</f>
        <v>35</v>
      </c>
      <c r="L19" s="29" t="n">
        <f aca="false">IFERROR(J19/K19,0)</f>
        <v>958.499142857143</v>
      </c>
      <c r="M19" s="77" t="n">
        <f aca="false">IFERROR(J19/SUM(J15:J20)*100,0)</f>
        <v>11.9955551239293</v>
      </c>
    </row>
    <row r="20" customFormat="false" ht="15" hidden="false" customHeight="true" outlineLevel="0" collapsed="false">
      <c r="A20" s="78" t="s">
        <v>925</v>
      </c>
      <c r="B20" s="79" t="n">
        <f aca="false">SUMPRODUCT((MONTH(DATEVALUE(Raw_Data!B5:B259))=6)*(YEAR(DATEVALUE(Raw_Data!B5:B259))=2023)*Raw_Data!P5:P259)</f>
        <v>63994.42</v>
      </c>
      <c r="C20" s="79" t="n">
        <f aca="false">SUMPRODUCT((MONTH(DATEVALUE(Raw_Data!B5:B259))=6)*(YEAR(DATEVALUE(Raw_Data!B5:B259))=2023)*Raw_Data!Q5:Q259)</f>
        <v>14837.55</v>
      </c>
      <c r="D20" s="78" t="n">
        <f aca="false">SUMPRODUCT((MONTH(DATEVALUE(Raw_Data!B5:B259))=6)*(YEAR(DATEVALUE(Raw_Data!B5:B259))=2023)*1)</f>
        <v>27</v>
      </c>
      <c r="E20" s="80" t="n">
        <f aca="false">IFERROR((B20-B19)/B19,0)</f>
        <v>2.72572869090348</v>
      </c>
      <c r="F20" s="79" t="n">
        <f aca="false">F19+B20</f>
        <v>170399.18</v>
      </c>
      <c r="G20" s="79" t="n">
        <f aca="false">IFERROR(B20/D20,0)</f>
        <v>2370.1637037037</v>
      </c>
      <c r="I20" s="81" t="s">
        <v>144</v>
      </c>
      <c r="J20" s="82" t="n">
        <f aca="false">SUMIF(Raw_Data!R5:R259,I20,Raw_Data!P5:P259)</f>
        <v>24898.61</v>
      </c>
      <c r="K20" s="81" t="n">
        <f aca="false">COUNTIF(Raw_Data!R5:R259,I20)</f>
        <v>47</v>
      </c>
      <c r="L20" s="82" t="n">
        <f aca="false">IFERROR(J20/K20,0)</f>
        <v>529.757659574468</v>
      </c>
      <c r="M20" s="83" t="n">
        <f aca="false">IFERROR(J20/SUM(J15:J20)*100,0)</f>
        <v>8.90298579190079</v>
      </c>
    </row>
    <row r="21" customFormat="false" ht="15" hidden="false" customHeight="true" outlineLevel="0" collapsed="false">
      <c r="A21" s="30" t="s">
        <v>926</v>
      </c>
      <c r="B21" s="29" t="n">
        <f aca="false">SUMPRODUCT((MONTH(DATEVALUE(Raw_Data!B5:B259))=7)*(YEAR(DATEVALUE(Raw_Data!B5:B259))=2023)*Raw_Data!P5:P259)</f>
        <v>7563.77</v>
      </c>
      <c r="C21" s="29" t="n">
        <f aca="false">SUMPRODUCT((MONTH(DATEVALUE(Raw_Data!B5:B259))=7)*(YEAR(DATEVALUE(Raw_Data!B5:B259))=2023)*Raw_Data!Q5:Q259)</f>
        <v>2731.98</v>
      </c>
      <c r="D21" s="30" t="n">
        <f aca="false">SUMPRODUCT((MONTH(DATEVALUE(Raw_Data!B5:B259))=7)*(YEAR(DATEVALUE(Raw_Data!B5:B259))=2023)*1)</f>
        <v>20</v>
      </c>
      <c r="E21" s="65" t="n">
        <f aca="false">IFERROR((B21-B20)/B20,0)</f>
        <v>-0.881805788692202</v>
      </c>
      <c r="F21" s="29" t="n">
        <f aca="false">F20+B21</f>
        <v>177962.95</v>
      </c>
      <c r="G21" s="29" t="n">
        <f aca="false">IFERROR(B21/D21,0)</f>
        <v>378.1885</v>
      </c>
    </row>
    <row r="22" customFormat="false" ht="15" hidden="false" customHeight="true" outlineLevel="0" collapsed="false">
      <c r="A22" s="78" t="s">
        <v>927</v>
      </c>
      <c r="B22" s="79" t="n">
        <f aca="false">SUMPRODUCT((MONTH(DATEVALUE(Raw_Data!B5:B259))=8)*(YEAR(DATEVALUE(Raw_Data!B5:B259))=2023)*Raw_Data!P5:P259)</f>
        <v>12395.72</v>
      </c>
      <c r="C22" s="79" t="n">
        <f aca="false">SUMPRODUCT((MONTH(DATEVALUE(Raw_Data!B5:B259))=8)*(YEAR(DATEVALUE(Raw_Data!B5:B259))=2023)*Raw_Data!Q5:Q259)</f>
        <v>4349.66</v>
      </c>
      <c r="D22" s="78" t="n">
        <f aca="false">SUMPRODUCT((MONTH(DATEVALUE(Raw_Data!B5:B259))=8)*(YEAR(DATEVALUE(Raw_Data!B5:B259))=2023)*1)</f>
        <v>20</v>
      </c>
      <c r="E22" s="80" t="n">
        <f aca="false">IFERROR((B22-B21)/B21,0)</f>
        <v>0.638828256279607</v>
      </c>
      <c r="F22" s="79" t="n">
        <f aca="false">F21+B22</f>
        <v>190358.67</v>
      </c>
      <c r="G22" s="79" t="n">
        <f aca="false">IFERROR(B22/D22,0)</f>
        <v>619.786</v>
      </c>
    </row>
    <row r="23" customFormat="false" ht="15" hidden="false" customHeight="true" outlineLevel="0" collapsed="false">
      <c r="A23" s="30" t="s">
        <v>928</v>
      </c>
      <c r="B23" s="29" t="n">
        <f aca="false">SUMPRODUCT((MONTH(DATEVALUE(Raw_Data!B5:B259))=9)*(YEAR(DATEVALUE(Raw_Data!B5:B259))=2023)*Raw_Data!P5:P259)</f>
        <v>19717.04</v>
      </c>
      <c r="C23" s="29" t="n">
        <f aca="false">SUMPRODUCT((MONTH(DATEVALUE(Raw_Data!B5:B259))=9)*(YEAR(DATEVALUE(Raw_Data!B5:B259))=2023)*Raw_Data!Q5:Q259)</f>
        <v>5530.43</v>
      </c>
      <c r="D23" s="30" t="n">
        <f aca="false">SUMPRODUCT((MONTH(DATEVALUE(Raw_Data!B5:B259))=9)*(YEAR(DATEVALUE(Raw_Data!B5:B259))=2023)*1)</f>
        <v>21</v>
      </c>
      <c r="E23" s="65" t="n">
        <f aca="false">IFERROR((B23-B22)/B22,0)</f>
        <v>0.59063289587051</v>
      </c>
      <c r="F23" s="29" t="n">
        <f aca="false">F22+B23</f>
        <v>210075.71</v>
      </c>
      <c r="G23" s="29" t="n">
        <f aca="false">IFERROR(B23/D23,0)</f>
        <v>938.906666666667</v>
      </c>
    </row>
    <row r="24" customFormat="false" ht="15" hidden="false" customHeight="true" outlineLevel="0" collapsed="false">
      <c r="A24" s="78" t="s">
        <v>929</v>
      </c>
      <c r="B24" s="79" t="n">
        <f aca="false">SUMPRODUCT((MONTH(DATEVALUE(Raw_Data!B5:B259))=10)*(YEAR(DATEVALUE(Raw_Data!B5:B259))=2023)*Raw_Data!P5:P259)</f>
        <v>27399.41</v>
      </c>
      <c r="C24" s="79" t="n">
        <f aca="false">SUMPRODUCT((MONTH(DATEVALUE(Raw_Data!B5:B259))=10)*(YEAR(DATEVALUE(Raw_Data!B5:B259))=2023)*Raw_Data!Q5:Q259)</f>
        <v>7629.3</v>
      </c>
      <c r="D24" s="78" t="n">
        <f aca="false">SUMPRODUCT((MONTH(DATEVALUE(Raw_Data!B5:B259))=10)*(YEAR(DATEVALUE(Raw_Data!B5:B259))=2023)*1)</f>
        <v>22</v>
      </c>
      <c r="E24" s="80" t="n">
        <f aca="false">IFERROR((B24-B23)/B23,0)</f>
        <v>0.389630999379217</v>
      </c>
      <c r="F24" s="79" t="n">
        <f aca="false">F23+B24</f>
        <v>237475.12</v>
      </c>
      <c r="G24" s="79" t="n">
        <f aca="false">IFERROR(B24/D24,0)</f>
        <v>1245.42772727273</v>
      </c>
    </row>
    <row r="25" customFormat="false" ht="15" hidden="false" customHeight="true" outlineLevel="0" collapsed="false">
      <c r="A25" s="30" t="s">
        <v>930</v>
      </c>
      <c r="B25" s="29" t="n">
        <f aca="false">SUMPRODUCT((MONTH(DATEVALUE(Raw_Data!B5:B259))=11)*(YEAR(DATEVALUE(Raw_Data!B5:B259))=2023)*Raw_Data!P5:P259)</f>
        <v>4411.76</v>
      </c>
      <c r="C25" s="29" t="n">
        <f aca="false">SUMPRODUCT((MONTH(DATEVALUE(Raw_Data!B5:B259))=11)*(YEAR(DATEVALUE(Raw_Data!B5:B259))=2023)*Raw_Data!Q5:Q259)</f>
        <v>1755.55</v>
      </c>
      <c r="D25" s="30" t="n">
        <f aca="false">SUMPRODUCT((MONTH(DATEVALUE(Raw_Data!B5:B259))=11)*(YEAR(DATEVALUE(Raw_Data!B5:B259))=2023)*1)</f>
        <v>14</v>
      </c>
      <c r="E25" s="65" t="n">
        <f aca="false">IFERROR((B25-B24)/B24,0)</f>
        <v>-0.838983394167977</v>
      </c>
      <c r="F25" s="29" t="n">
        <f aca="false">F24+B25</f>
        <v>241886.88</v>
      </c>
      <c r="G25" s="29" t="n">
        <f aca="false">IFERROR(B25/D25,0)</f>
        <v>315.125714285714</v>
      </c>
    </row>
    <row r="26" customFormat="false" ht="15" hidden="false" customHeight="true" outlineLevel="0" collapsed="false">
      <c r="A26" s="78" t="s">
        <v>931</v>
      </c>
      <c r="B26" s="79" t="n">
        <f aca="false">SUMPRODUCT((MONTH(DATEVALUE(Raw_Data!B5:B259))=12)*(YEAR(DATEVALUE(Raw_Data!B5:B259))=2023)*Raw_Data!P5:P259)</f>
        <v>37778.96</v>
      </c>
      <c r="C26" s="79" t="n">
        <f aca="false">SUMPRODUCT((MONTH(DATEVALUE(Raw_Data!B5:B259))=12)*(YEAR(DATEVALUE(Raw_Data!B5:B259))=2023)*Raw_Data!Q5:Q259)</f>
        <v>8286.41</v>
      </c>
      <c r="D26" s="78" t="n">
        <f aca="false">SUMPRODUCT((MONTH(DATEVALUE(Raw_Data!B5:B259))=12)*(YEAR(DATEVALUE(Raw_Data!B5:B259))=2023)*1)</f>
        <v>23</v>
      </c>
      <c r="E26" s="80" t="n">
        <f aca="false">IFERROR((B26-B25)/B25,0)</f>
        <v>7.56324006745607</v>
      </c>
      <c r="F26" s="79" t="n">
        <f aca="false">F25+B26</f>
        <v>279665.84</v>
      </c>
      <c r="G26" s="79" t="n">
        <f aca="false">IFERROR(B26/D26,0)</f>
        <v>1642.56347826087</v>
      </c>
    </row>
    <row r="27" customFormat="false" ht="15" hidden="false" customHeight="true" outlineLevel="0" collapsed="false">
      <c r="A27" s="67" t="s">
        <v>911</v>
      </c>
      <c r="B27" s="68" t="n">
        <f aca="false">SUM(B15:B26)</f>
        <v>279665.84</v>
      </c>
      <c r="C27" s="72" t="n">
        <f aca="false">SUM(C15:C26)</f>
        <v>72986.11</v>
      </c>
      <c r="D27" s="67" t="n">
        <f aca="false">SUM(D15:D26)</f>
        <v>255</v>
      </c>
      <c r="E27" s="84"/>
      <c r="F27" s="84"/>
      <c r="G27" s="84"/>
    </row>
    <row r="29" customFormat="false" ht="21.75" hidden="false" customHeight="true" outlineLevel="0" collapsed="false">
      <c r="A29" s="73" t="s">
        <v>932</v>
      </c>
      <c r="B29" s="73"/>
      <c r="C29" s="73"/>
      <c r="D29" s="73"/>
      <c r="E29" s="73"/>
      <c r="F29" s="73"/>
      <c r="G29" s="73"/>
      <c r="I29" s="62" t="s">
        <v>933</v>
      </c>
      <c r="J29" s="62"/>
      <c r="K29" s="62"/>
      <c r="L29" s="62"/>
      <c r="M29" s="62"/>
    </row>
    <row r="30" customFormat="false" ht="15" hidden="false" customHeight="true" outlineLevel="0" collapsed="false">
      <c r="A30" s="85" t="s">
        <v>4</v>
      </c>
      <c r="B30" s="85" t="s">
        <v>16</v>
      </c>
      <c r="C30" s="85" t="s">
        <v>17</v>
      </c>
      <c r="D30" s="85" t="s">
        <v>837</v>
      </c>
      <c r="E30" s="85" t="s">
        <v>873</v>
      </c>
      <c r="F30" s="85" t="s">
        <v>934</v>
      </c>
      <c r="G30" s="85" t="s">
        <v>8</v>
      </c>
      <c r="I30" s="64" t="s">
        <v>19</v>
      </c>
      <c r="J30" s="64" t="s">
        <v>16</v>
      </c>
      <c r="K30" s="64" t="s">
        <v>837</v>
      </c>
      <c r="L30" s="64" t="s">
        <v>17</v>
      </c>
      <c r="M30" s="64" t="s">
        <v>934</v>
      </c>
    </row>
    <row r="31" customFormat="false" ht="15" hidden="false" customHeight="true" outlineLevel="0" collapsed="false">
      <c r="A31" s="30" t="s">
        <v>216</v>
      </c>
      <c r="B31" s="29" t="n">
        <f aca="false">SUMIF(Raw_Data!D5:D259,A31,Raw_Data!P5:P259)</f>
        <v>34146.12</v>
      </c>
      <c r="C31" s="29" t="n">
        <f aca="false">SUMIF(Raw_Data!D5:D259,A31,Raw_Data!Q5:Q259)</f>
        <v>7221.65</v>
      </c>
      <c r="D31" s="30" t="n">
        <f aca="false">COUNTIF(Raw_Data!D5:D259,A31)</f>
        <v>2</v>
      </c>
      <c r="E31" s="29" t="n">
        <f aca="false">IFERROR(B31/D31,0)</f>
        <v>17073.06</v>
      </c>
      <c r="F31" s="65" t="n">
        <f aca="false">IFERROR(C31/B31,0)</f>
        <v>0.211492550251683</v>
      </c>
      <c r="G31" s="30" t="str">
        <f aca="false">IFERROR(xlookup(A31,Raw_Data!D5:D259,Raw_Data!H5:H259,"N/A"),"-")</f>
        <v>-</v>
      </c>
      <c r="I31" s="30" t="s">
        <v>32</v>
      </c>
      <c r="J31" s="29" t="n">
        <f aca="false">SUMIF(Raw_Data!S5:S259,I31,Raw_Data!P5:P259)</f>
        <v>12686.13</v>
      </c>
      <c r="K31" s="30" t="n">
        <f aca="false">COUNTIF(Raw_Data!S5:S259,I31)</f>
        <v>24</v>
      </c>
      <c r="L31" s="29" t="n">
        <f aca="false">SUMIF(Raw_Data!S5:S259,I31,Raw_Data!Q5:Q259)</f>
        <v>4951.69</v>
      </c>
      <c r="M31" s="65" t="n">
        <f aca="false">IFERROR(L31/J31,0)</f>
        <v>0.390323132428881</v>
      </c>
    </row>
    <row r="32" customFormat="false" ht="15" hidden="false" customHeight="true" outlineLevel="0" collapsed="false">
      <c r="A32" s="86" t="s">
        <v>76</v>
      </c>
      <c r="B32" s="87" t="n">
        <f aca="false">SUMIF(Raw_Data!D5:D259,A32,Raw_Data!P5:P259)</f>
        <v>33639.19</v>
      </c>
      <c r="C32" s="87" t="n">
        <f aca="false">SUMIF(Raw_Data!D5:D259,A32,Raw_Data!Q5:Q259)</f>
        <v>6319.57</v>
      </c>
      <c r="D32" s="86" t="n">
        <f aca="false">COUNTIF(Raw_Data!D5:D259,A32)</f>
        <v>4</v>
      </c>
      <c r="E32" s="87" t="n">
        <f aca="false">IFERROR(B32/D32,0)</f>
        <v>8409.7975</v>
      </c>
      <c r="F32" s="88" t="n">
        <f aca="false">IFERROR(C32/B32,0)</f>
        <v>0.18786332251163</v>
      </c>
      <c r="G32" s="86" t="str">
        <f aca="false">IFERROR(xlookup(A32,Raw_Data!D5:D259,Raw_Data!H5:H259,"N/A"),"-")</f>
        <v>-</v>
      </c>
      <c r="I32" s="27" t="s">
        <v>73</v>
      </c>
      <c r="J32" s="26" t="n">
        <f aca="false">SUMIF(Raw_Data!S5:S259,I32,Raw_Data!P5:P259)</f>
        <v>13616.9</v>
      </c>
      <c r="K32" s="27" t="n">
        <f aca="false">COUNTIF(Raw_Data!S5:S259,I32)</f>
        <v>24</v>
      </c>
      <c r="L32" s="26" t="n">
        <f aca="false">SUMIF(Raw_Data!S5:S259,I32,Raw_Data!Q5:Q259)</f>
        <v>4041.59</v>
      </c>
      <c r="M32" s="89" t="n">
        <f aca="false">IFERROR(L32/J32,0)</f>
        <v>0.296806909061534</v>
      </c>
    </row>
    <row r="33" customFormat="false" ht="15" hidden="false" customHeight="true" outlineLevel="0" collapsed="false">
      <c r="A33" s="30" t="s">
        <v>637</v>
      </c>
      <c r="B33" s="29" t="n">
        <f aca="false">SUMIF(Raw_Data!D5:D259,A33,Raw_Data!P5:P259)</f>
        <v>20521.9</v>
      </c>
      <c r="C33" s="29" t="n">
        <f aca="false">SUMIF(Raw_Data!D5:D259,A33,Raw_Data!Q5:Q259)</f>
        <v>4538.4</v>
      </c>
      <c r="D33" s="30" t="n">
        <f aca="false">COUNTIF(Raw_Data!D5:D259,A33)</f>
        <v>2</v>
      </c>
      <c r="E33" s="29" t="n">
        <f aca="false">IFERROR(B33/D33,0)</f>
        <v>10260.95</v>
      </c>
      <c r="F33" s="65" t="n">
        <f aca="false">IFERROR(C33/B33,0)</f>
        <v>0.221149113873472</v>
      </c>
      <c r="G33" s="30" t="str">
        <f aca="false">IFERROR(xlookup(A33,Raw_Data!D5:D259,Raw_Data!H5:H259,"N/A"),"-")</f>
        <v>-</v>
      </c>
      <c r="I33" s="30" t="s">
        <v>54</v>
      </c>
      <c r="J33" s="29" t="n">
        <f aca="false">SUMIF(Raw_Data!S5:S259,I33,Raw_Data!P5:P259)</f>
        <v>22262.72</v>
      </c>
      <c r="K33" s="30" t="n">
        <f aca="false">COUNTIF(Raw_Data!S5:S259,I33)</f>
        <v>30</v>
      </c>
      <c r="L33" s="29" t="n">
        <f aca="false">SUMIF(Raw_Data!S5:S259,I33,Raw_Data!Q5:Q259)</f>
        <v>7219.82</v>
      </c>
      <c r="M33" s="65" t="n">
        <f aca="false">IFERROR(L33/J33,0)</f>
        <v>0.324300894050682</v>
      </c>
    </row>
    <row r="34" customFormat="false" ht="15" hidden="false" customHeight="true" outlineLevel="0" collapsed="false">
      <c r="A34" s="86" t="s">
        <v>168</v>
      </c>
      <c r="B34" s="87" t="n">
        <f aca="false">SUMIF(Raw_Data!D5:D259,A34,Raw_Data!P5:P259)</f>
        <v>19850.92</v>
      </c>
      <c r="C34" s="87" t="n">
        <f aca="false">SUMIF(Raw_Data!D5:D259,A34,Raw_Data!Q5:Q259)</f>
        <v>4120.65</v>
      </c>
      <c r="D34" s="86" t="n">
        <f aca="false">COUNTIF(Raw_Data!D5:D259,A34)</f>
        <v>4</v>
      </c>
      <c r="E34" s="87" t="n">
        <f aca="false">IFERROR(B34/D34,0)</f>
        <v>4962.73</v>
      </c>
      <c r="F34" s="88" t="n">
        <f aca="false">IFERROR(C34/B34,0)</f>
        <v>0.207579799827917</v>
      </c>
      <c r="G34" s="86" t="str">
        <f aca="false">IFERROR(xlookup(A34,Raw_Data!D5:D259,Raw_Data!H5:H259,"N/A"),"-")</f>
        <v>-</v>
      </c>
      <c r="I34" s="27" t="s">
        <v>41</v>
      </c>
      <c r="J34" s="26" t="n">
        <f aca="false">SUMIF(Raw_Data!S5:S259,I34,Raw_Data!P5:P259)</f>
        <v>14072.4</v>
      </c>
      <c r="K34" s="27" t="n">
        <f aca="false">COUNTIF(Raw_Data!S5:S259,I34)</f>
        <v>30</v>
      </c>
      <c r="L34" s="26" t="n">
        <f aca="false">SUMIF(Raw_Data!S5:S259,I34,Raw_Data!Q5:Q259)</f>
        <v>4375.71</v>
      </c>
      <c r="M34" s="89" t="n">
        <f aca="false">IFERROR(L34/J34,0)</f>
        <v>0.310942696341775</v>
      </c>
    </row>
    <row r="35" customFormat="false" ht="15" hidden="false" customHeight="true" outlineLevel="0" collapsed="false">
      <c r="A35" s="30" t="s">
        <v>423</v>
      </c>
      <c r="B35" s="29" t="n">
        <f aca="false">SUMIF(Raw_Data!D5:D259,A35,Raw_Data!P5:P259)</f>
        <v>17080.75</v>
      </c>
      <c r="C35" s="29" t="n">
        <f aca="false">SUMIF(Raw_Data!D5:D259,A35,Raw_Data!Q5:Q259)</f>
        <v>3705.59</v>
      </c>
      <c r="D35" s="30" t="n">
        <f aca="false">COUNTIF(Raw_Data!D5:D259,A35)</f>
        <v>3</v>
      </c>
      <c r="E35" s="29" t="n">
        <f aca="false">IFERROR(B35/D35,0)</f>
        <v>5693.58333333333</v>
      </c>
      <c r="F35" s="65" t="n">
        <f aca="false">IFERROR(C35/B35,0)</f>
        <v>0.216945391742166</v>
      </c>
      <c r="G35" s="30" t="str">
        <f aca="false">IFERROR(xlookup(A35,Raw_Data!D5:D259,Raw_Data!H5:H259,"N/A"),"-")</f>
        <v>-</v>
      </c>
      <c r="I35" s="30" t="s">
        <v>63</v>
      </c>
      <c r="J35" s="29" t="n">
        <f aca="false">SUMIF(Raw_Data!S5:S259,I35,Raw_Data!P5:P259)</f>
        <v>63982.33</v>
      </c>
      <c r="K35" s="30" t="n">
        <f aca="false">COUNTIF(Raw_Data!S5:S259,I35)</f>
        <v>22</v>
      </c>
      <c r="L35" s="29" t="n">
        <f aca="false">SUMIF(Raw_Data!S5:S259,I35,Raw_Data!Q5:Q259)</f>
        <v>14111.03</v>
      </c>
      <c r="M35" s="65" t="n">
        <f aca="false">IFERROR(L35/J35,0)</f>
        <v>0.220545735049036</v>
      </c>
    </row>
    <row r="36" customFormat="false" ht="15" hidden="false" customHeight="true" outlineLevel="0" collapsed="false">
      <c r="A36" s="86" t="s">
        <v>45</v>
      </c>
      <c r="B36" s="87" t="n">
        <f aca="false">SUMIF(Raw_Data!D5:D259,A36,Raw_Data!P5:P259)</f>
        <v>9596.44</v>
      </c>
      <c r="C36" s="87" t="n">
        <f aca="false">SUMIF(Raw_Data!D5:D259,A36,Raw_Data!Q5:Q259)</f>
        <v>2676.7</v>
      </c>
      <c r="D36" s="86" t="n">
        <f aca="false">COUNTIF(Raw_Data!D5:D259,A36)</f>
        <v>4</v>
      </c>
      <c r="E36" s="87" t="n">
        <f aca="false">IFERROR(B36/D36,0)</f>
        <v>2399.11</v>
      </c>
      <c r="F36" s="88" t="n">
        <f aca="false">IFERROR(C36/B36,0)</f>
        <v>0.27892635185548</v>
      </c>
      <c r="G36" s="86" t="str">
        <f aca="false">IFERROR(xlookup(A36,Raw_Data!D5:D259,Raw_Data!H5:H259,"N/A"),"-")</f>
        <v>-</v>
      </c>
      <c r="I36" s="27" t="s">
        <v>96</v>
      </c>
      <c r="J36" s="26" t="n">
        <f aca="false">SUMIF(Raw_Data!S5:S259,I36,Raw_Data!P5:P259)</f>
        <v>37475.47</v>
      </c>
      <c r="K36" s="27" t="n">
        <f aca="false">COUNTIF(Raw_Data!S5:S259,I36)</f>
        <v>24</v>
      </c>
      <c r="L36" s="26" t="n">
        <f aca="false">SUMIF(Raw_Data!S5:S259,I36,Raw_Data!Q5:Q259)</f>
        <v>9366.91</v>
      </c>
      <c r="M36" s="89" t="n">
        <f aca="false">IFERROR(L36/J36,0)</f>
        <v>0.24994776583189</v>
      </c>
    </row>
    <row r="37" customFormat="false" ht="15" hidden="false" customHeight="true" outlineLevel="0" collapsed="false">
      <c r="A37" s="30" t="s">
        <v>364</v>
      </c>
      <c r="B37" s="29" t="n">
        <f aca="false">SUMIF(Raw_Data!D5:D259,A37,Raw_Data!P5:P259)</f>
        <v>8218.25</v>
      </c>
      <c r="C37" s="29" t="n">
        <f aca="false">SUMIF(Raw_Data!D5:D259,A37,Raw_Data!Q5:Q259)</f>
        <v>1847.79</v>
      </c>
      <c r="D37" s="30" t="n">
        <f aca="false">COUNTIF(Raw_Data!D5:D259,A37)</f>
        <v>4</v>
      </c>
      <c r="E37" s="29" t="n">
        <f aca="false">IFERROR(B37/D37,0)</f>
        <v>2054.5625</v>
      </c>
      <c r="F37" s="65" t="n">
        <f aca="false">IFERROR(C37/B37,0)</f>
        <v>0.22483983816506</v>
      </c>
      <c r="G37" s="30" t="str">
        <f aca="false">IFERROR(xlookup(A37,Raw_Data!D5:D259,Raw_Data!H5:H259,"N/A"),"-")</f>
        <v>-</v>
      </c>
      <c r="I37" s="30" t="s">
        <v>90</v>
      </c>
      <c r="J37" s="29" t="n">
        <f aca="false">SUMIF(Raw_Data!S5:S259,I37,Raw_Data!P5:P259)</f>
        <v>45176.21</v>
      </c>
      <c r="K37" s="30" t="n">
        <f aca="false">COUNTIF(Raw_Data!S5:S259,I37)</f>
        <v>26</v>
      </c>
      <c r="L37" s="29" t="n">
        <f aca="false">SUMIF(Raw_Data!S5:S259,I37,Raw_Data!Q5:Q259)</f>
        <v>10078.76</v>
      </c>
      <c r="M37" s="65" t="n">
        <f aca="false">IFERROR(L37/J37,0)</f>
        <v>0.223098838968563</v>
      </c>
    </row>
    <row r="38" customFormat="false" ht="15" hidden="false" customHeight="true" outlineLevel="0" collapsed="false">
      <c r="A38" s="86" t="s">
        <v>94</v>
      </c>
      <c r="B38" s="87" t="n">
        <f aca="false">SUMIF(Raw_Data!D5:D259,A38,Raw_Data!P5:P259)</f>
        <v>6909.39</v>
      </c>
      <c r="C38" s="87" t="n">
        <f aca="false">SUMIF(Raw_Data!D5:D259,A38,Raw_Data!Q5:Q259)</f>
        <v>1668.51</v>
      </c>
      <c r="D38" s="86" t="n">
        <f aca="false">COUNTIF(Raw_Data!D5:D259,A38)</f>
        <v>5</v>
      </c>
      <c r="E38" s="87" t="n">
        <f aca="false">IFERROR(B38/D38,0)</f>
        <v>1381.878</v>
      </c>
      <c r="F38" s="88" t="n">
        <f aca="false">IFERROR(C38/B38,0)</f>
        <v>0.241484414687838</v>
      </c>
      <c r="G38" s="86" t="str">
        <f aca="false">IFERROR(xlookup(A38,Raw_Data!D5:D259,Raw_Data!H5:H259,"N/A"),"-")</f>
        <v>-</v>
      </c>
      <c r="I38" s="27" t="s">
        <v>80</v>
      </c>
      <c r="J38" s="26" t="n">
        <f aca="false">SUMIF(Raw_Data!S5:S259,I38,Raw_Data!P5:P259)</f>
        <v>25374.3</v>
      </c>
      <c r="K38" s="27" t="n">
        <f aca="false">COUNTIF(Raw_Data!S5:S259,I38)</f>
        <v>27</v>
      </c>
      <c r="L38" s="26" t="n">
        <f aca="false">SUMIF(Raw_Data!S5:S259,I38,Raw_Data!Q5:Q259)</f>
        <v>6701.24</v>
      </c>
      <c r="M38" s="89" t="n">
        <f aca="false">IFERROR(L38/J38,0)</f>
        <v>0.264095561256862</v>
      </c>
    </row>
    <row r="39" customFormat="false" ht="15" hidden="false" customHeight="true" outlineLevel="0" collapsed="false">
      <c r="A39" s="30" t="s">
        <v>290</v>
      </c>
      <c r="B39" s="29" t="n">
        <f aca="false">SUMIF(Raw_Data!D5:D259,A39,Raw_Data!P5:P259)</f>
        <v>6905.81</v>
      </c>
      <c r="C39" s="29" t="n">
        <f aca="false">SUMIF(Raw_Data!D5:D259,A39,Raw_Data!Q5:Q259)</f>
        <v>1860.39</v>
      </c>
      <c r="D39" s="30" t="n">
        <f aca="false">COUNTIF(Raw_Data!D5:D259,A39)</f>
        <v>8</v>
      </c>
      <c r="E39" s="29" t="n">
        <f aca="false">IFERROR(B39/D39,0)</f>
        <v>863.22625</v>
      </c>
      <c r="F39" s="65" t="n">
        <f aca="false">IFERROR(C39/B39,0)</f>
        <v>0.2693949008154</v>
      </c>
      <c r="G39" s="30" t="str">
        <f aca="false">IFERROR(xlookup(A39,Raw_Data!D5:D259,Raw_Data!H5:H259,"N/A"),"-")</f>
        <v>-</v>
      </c>
    </row>
    <row r="40" customFormat="false" ht="15" hidden="false" customHeight="true" outlineLevel="0" collapsed="false">
      <c r="A40" s="86" t="s">
        <v>139</v>
      </c>
      <c r="B40" s="87" t="n">
        <f aca="false">SUMIF(Raw_Data!D5:D259,A40,Raw_Data!P5:P259)</f>
        <v>5556.48</v>
      </c>
      <c r="C40" s="87" t="n">
        <f aca="false">SUMIF(Raw_Data!D5:D259,A40,Raw_Data!Q5:Q259)</f>
        <v>2097.05</v>
      </c>
      <c r="D40" s="86" t="n">
        <f aca="false">COUNTIF(Raw_Data!D5:D259,A40)</f>
        <v>5</v>
      </c>
      <c r="E40" s="87" t="n">
        <f aca="false">IFERROR(B40/D40,0)</f>
        <v>1111.296</v>
      </c>
      <c r="F40" s="88" t="n">
        <f aca="false">IFERROR(C40/B40,0)</f>
        <v>0.377406199608385</v>
      </c>
      <c r="G40" s="86" t="str">
        <f aca="false">IFERROR(xlookup(A40,Raw_Data!D5:D259,Raw_Data!H5:H259,"N/A"),"-")</f>
        <v>-</v>
      </c>
    </row>
  </sheetData>
  <mergeCells count="7">
    <mergeCell ref="A1:P1"/>
    <mergeCell ref="A3:E3"/>
    <mergeCell ref="G3:K3"/>
    <mergeCell ref="A13:G13"/>
    <mergeCell ref="I13:M13"/>
    <mergeCell ref="A29:G29"/>
    <mergeCell ref="I29:M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4" min="2" style="1" width="15"/>
  </cols>
  <sheetData>
    <row r="1" customFormat="false" ht="30" hidden="false" customHeight="true" outlineLevel="0" collapsed="false">
      <c r="A1" s="90" t="s">
        <v>935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3" customFormat="false" ht="15" hidden="false" customHeight="true" outlineLevel="0" collapsed="false">
      <c r="A3" s="91" t="s">
        <v>936</v>
      </c>
      <c r="E3" s="91" t="s">
        <v>937</v>
      </c>
      <c r="I3" s="92" t="s">
        <v>938</v>
      </c>
      <c r="L3" s="93" t="s">
        <v>939</v>
      </c>
    </row>
    <row r="4" customFormat="false" ht="15" hidden="false" customHeight="true" outlineLevel="0" collapsed="false">
      <c r="A4" s="57" t="s">
        <v>10</v>
      </c>
      <c r="B4" s="57" t="s">
        <v>16</v>
      </c>
      <c r="C4" s="57" t="s">
        <v>17</v>
      </c>
      <c r="E4" s="57" t="s">
        <v>914</v>
      </c>
      <c r="F4" s="57" t="s">
        <v>16</v>
      </c>
      <c r="G4" s="57" t="s">
        <v>17</v>
      </c>
      <c r="I4" s="94" t="s">
        <v>840</v>
      </c>
      <c r="J4" s="94" t="s">
        <v>16</v>
      </c>
      <c r="L4" s="95" t="s">
        <v>18</v>
      </c>
      <c r="M4" s="95" t="s">
        <v>16</v>
      </c>
    </row>
    <row r="5" customFormat="false" ht="15" hidden="false" customHeight="true" outlineLevel="0" collapsed="false">
      <c r="A5" s="1" t="s">
        <v>50</v>
      </c>
      <c r="B5" s="1" t="n">
        <v>78372.68</v>
      </c>
      <c r="C5" s="1" t="n">
        <v>19127.49</v>
      </c>
      <c r="E5" s="1" t="s">
        <v>919</v>
      </c>
      <c r="F5" s="1" t="n">
        <v>10940.37</v>
      </c>
      <c r="G5" s="1" t="n">
        <v>3156.03</v>
      </c>
      <c r="I5" s="1" t="s">
        <v>112</v>
      </c>
      <c r="J5" s="1" t="n">
        <v>5432.47</v>
      </c>
      <c r="L5" s="1" t="s">
        <v>40</v>
      </c>
      <c r="M5" s="1" t="n">
        <v>33547.47</v>
      </c>
    </row>
    <row r="6" customFormat="false" ht="15" hidden="false" customHeight="true" outlineLevel="0" collapsed="false">
      <c r="A6" s="1" t="s">
        <v>28</v>
      </c>
      <c r="B6" s="1" t="n">
        <v>73693.55</v>
      </c>
      <c r="C6" s="1" t="n">
        <v>19191.1</v>
      </c>
      <c r="E6" s="1" t="s">
        <v>921</v>
      </c>
      <c r="F6" s="1" t="n">
        <v>9383.98</v>
      </c>
      <c r="G6" s="1" t="n">
        <v>3118.33</v>
      </c>
      <c r="I6" s="1" t="s">
        <v>134</v>
      </c>
      <c r="J6" s="1" t="n">
        <v>5537.11</v>
      </c>
      <c r="L6" s="1" t="s">
        <v>31</v>
      </c>
      <c r="M6" s="1" t="n">
        <v>91134.55</v>
      </c>
    </row>
    <row r="7" customFormat="false" ht="15" hidden="false" customHeight="true" outlineLevel="0" collapsed="false">
      <c r="A7" s="1" t="s">
        <v>88</v>
      </c>
      <c r="B7" s="1" t="n">
        <v>77102.86</v>
      </c>
      <c r="C7" s="1" t="n">
        <v>19678.02</v>
      </c>
      <c r="E7" s="1" t="s">
        <v>922</v>
      </c>
      <c r="F7" s="1" t="n">
        <v>63336.74</v>
      </c>
      <c r="G7" s="1" t="n">
        <v>15371.07</v>
      </c>
      <c r="I7" s="1" t="s">
        <v>104</v>
      </c>
      <c r="J7" s="1" t="n">
        <v>17399.43</v>
      </c>
      <c r="L7" s="1" t="s">
        <v>106</v>
      </c>
      <c r="M7" s="1" t="n">
        <v>19354.49</v>
      </c>
    </row>
    <row r="8" customFormat="false" ht="15" hidden="false" customHeight="true" outlineLevel="0" collapsed="false">
      <c r="A8" s="1" t="s">
        <v>79</v>
      </c>
      <c r="B8" s="1" t="n">
        <v>50496.75</v>
      </c>
      <c r="C8" s="1" t="n">
        <v>14989.5</v>
      </c>
      <c r="E8" s="1" t="s">
        <v>923</v>
      </c>
      <c r="F8" s="1" t="n">
        <v>5567.32</v>
      </c>
      <c r="G8" s="1" t="n">
        <v>1739.9</v>
      </c>
      <c r="I8" s="1" t="s">
        <v>51</v>
      </c>
      <c r="J8" s="1" t="n">
        <v>191975.36</v>
      </c>
      <c r="L8" s="1" t="s">
        <v>144</v>
      </c>
      <c r="M8" s="1" t="n">
        <v>24898.61</v>
      </c>
    </row>
    <row r="9" customFormat="false" ht="15" hidden="false" customHeight="true" outlineLevel="0" collapsed="false">
      <c r="E9" s="1" t="s">
        <v>924</v>
      </c>
      <c r="F9" s="1" t="n">
        <v>17176.35</v>
      </c>
      <c r="G9" s="1" t="n">
        <v>4479.9</v>
      </c>
      <c r="I9" s="1" t="s">
        <v>61</v>
      </c>
      <c r="J9" s="1" t="n">
        <v>45657.2</v>
      </c>
      <c r="L9" s="1" t="s">
        <v>53</v>
      </c>
      <c r="M9" s="1" t="n">
        <v>74030.07</v>
      </c>
    </row>
    <row r="10" customFormat="false" ht="15" hidden="false" customHeight="true" outlineLevel="0" collapsed="false">
      <c r="E10" s="1" t="s">
        <v>925</v>
      </c>
      <c r="F10" s="1" t="n">
        <v>63994.42</v>
      </c>
      <c r="G10" s="1" t="n">
        <v>14837.55</v>
      </c>
      <c r="I10" s="1" t="s">
        <v>29</v>
      </c>
      <c r="J10" s="1" t="n">
        <v>13664.27</v>
      </c>
      <c r="L10" s="1" t="s">
        <v>72</v>
      </c>
      <c r="M10" s="1" t="n">
        <v>36700.65</v>
      </c>
    </row>
    <row r="11" customFormat="false" ht="15" hidden="false" customHeight="true" outlineLevel="0" collapsed="false">
      <c r="E11" s="1" t="s">
        <v>926</v>
      </c>
      <c r="F11" s="1" t="n">
        <v>7563.77</v>
      </c>
      <c r="G11" s="1" t="n">
        <v>2731.98</v>
      </c>
    </row>
    <row r="12" customFormat="false" ht="15" hidden="false" customHeight="true" outlineLevel="0" collapsed="false">
      <c r="E12" s="1" t="s">
        <v>927</v>
      </c>
      <c r="F12" s="1" t="n">
        <v>12395.72</v>
      </c>
      <c r="G12" s="1" t="n">
        <v>4349.66</v>
      </c>
    </row>
    <row r="13" customFormat="false" ht="15" hidden="false" customHeight="true" outlineLevel="0" collapsed="false">
      <c r="E13" s="1" t="s">
        <v>928</v>
      </c>
      <c r="F13" s="1" t="n">
        <v>19717.04</v>
      </c>
      <c r="G13" s="1" t="n">
        <v>5530.43</v>
      </c>
    </row>
    <row r="14" customFormat="false" ht="15" hidden="false" customHeight="true" outlineLevel="0" collapsed="false">
      <c r="E14" s="1" t="s">
        <v>929</v>
      </c>
      <c r="F14" s="1" t="n">
        <v>27399.41</v>
      </c>
      <c r="G14" s="1" t="n">
        <v>7629.3</v>
      </c>
    </row>
    <row r="15" customFormat="false" ht="15" hidden="false" customHeight="true" outlineLevel="0" collapsed="false">
      <c r="E15" s="1" t="s">
        <v>930</v>
      </c>
      <c r="F15" s="1" t="n">
        <v>4411.76</v>
      </c>
      <c r="G15" s="1" t="n">
        <v>1755.55</v>
      </c>
    </row>
    <row r="16" customFormat="false" ht="15" hidden="false" customHeight="true" outlineLevel="0" collapsed="false">
      <c r="E16" s="1" t="s">
        <v>931</v>
      </c>
      <c r="F16" s="1" t="n">
        <v>37778.96</v>
      </c>
      <c r="G16" s="1" t="n">
        <v>8286.41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T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1" width="10"/>
  </cols>
  <sheetData>
    <row r="1" customFormat="false" ht="7.5" hidden="false" customHeight="true" outlineLevel="0" collapsed="false"/>
    <row r="2" customFormat="false" ht="45" hidden="false" customHeight="true" outlineLevel="0" collapsed="false">
      <c r="A2" s="96" t="s">
        <v>940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Format="false" ht="7.5" hidden="false" customHeight="true" outlineLevel="0" collapsed="false"/>
    <row r="4" customFormat="false" ht="51.75" hidden="false" customHeight="true" outlineLevel="0" collapsed="false">
      <c r="A4" s="97" t="s">
        <v>941</v>
      </c>
      <c r="B4" s="97"/>
      <c r="C4" s="97"/>
      <c r="D4" s="98" t="s">
        <v>942</v>
      </c>
      <c r="E4" s="98"/>
      <c r="F4" s="98"/>
      <c r="G4" s="99" t="s">
        <v>943</v>
      </c>
      <c r="H4" s="99"/>
      <c r="I4" s="99"/>
      <c r="J4" s="100" t="s">
        <v>944</v>
      </c>
      <c r="K4" s="100"/>
      <c r="L4" s="100"/>
      <c r="M4" s="101" t="s">
        <v>945</v>
      </c>
      <c r="N4" s="101"/>
      <c r="O4" s="101"/>
      <c r="P4" s="102" t="s">
        <v>946</v>
      </c>
      <c r="Q4" s="102"/>
      <c r="R4" s="102"/>
      <c r="S4" s="98" t="s">
        <v>947</v>
      </c>
      <c r="T4" s="98"/>
    </row>
    <row r="5" customFormat="false" ht="51.75" hidden="false" customHeight="true" outlineLevel="0" collapsed="false">
      <c r="A5" s="103" t="n">
        <f aca="false">SUM(Raw_Data!P5:P259)</f>
        <v>279665.84</v>
      </c>
      <c r="B5" s="103"/>
      <c r="C5" s="103"/>
      <c r="D5" s="104" t="n">
        <f aca="false">SUM(Raw_Data!Q5:Q259)</f>
        <v>72986.11</v>
      </c>
      <c r="E5" s="104"/>
      <c r="F5" s="104"/>
      <c r="G5" s="105" t="n">
        <f aca="false">COUNTA(Raw_Data!A5:A259)</f>
        <v>255</v>
      </c>
      <c r="H5" s="105"/>
      <c r="I5" s="105"/>
      <c r="J5" s="106" t="str">
        <f aca="false">INDEX({"North","South","East","West"},MATCH(MAX(SUMIF(Raw_Data!J5:J259,{"North","South","East","West"},Raw_Data!P5:P259)),SUMIF(Raw_Data!J5:J259,{"North","South","East","West"},Raw_Data!P5:P259),0))</f>
        <v>East</v>
      </c>
      <c r="K5" s="106"/>
      <c r="L5" s="106"/>
      <c r="M5" s="107" t="str">
        <f aca="false">INDEX(Raw_Data!K5:K259,MATCH(MAX(SUMIF(Raw_Data!K5:K259,Raw_Data!K5:K259,Raw_Data!P5:P259)),SUMIF(Raw_Data!K5:K259,Raw_Data!K5:K259,Raw_Data!P5:P259),0))</f>
        <v>Sports</v>
      </c>
      <c r="N5" s="107"/>
      <c r="O5" s="107"/>
      <c r="P5" s="108" t="n">
        <f aca="false">IFERROR(SUM(Raw_Data!P5:P259)/COUNTA(Raw_Data!A5:A259),0)</f>
        <v>1096.72878431373</v>
      </c>
      <c r="Q5" s="108"/>
      <c r="R5" s="108"/>
      <c r="S5" s="109" t="n">
        <f aca="false">IFERROR(SUM(Raw_Data!Q5:Q259)/SUM(Raw_Data!P5:P259),0)</f>
        <v>0.260976134947336</v>
      </c>
      <c r="T5" s="109"/>
    </row>
    <row r="6" customFormat="false" ht="51.75" hidden="false" customHeight="true" outlineLevel="0" collapsed="false">
      <c r="A6" s="103"/>
      <c r="B6" s="103"/>
      <c r="C6" s="103"/>
      <c r="D6" s="110"/>
      <c r="E6" s="110"/>
      <c r="F6" s="110"/>
      <c r="G6" s="105"/>
      <c r="H6" s="105"/>
      <c r="I6" s="105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</row>
    <row r="7" customFormat="false" ht="51.75" hidden="false" customHeight="true" outlineLevel="0" collapsed="false">
      <c r="A7" s="111" t="s">
        <v>948</v>
      </c>
      <c r="B7" s="111"/>
      <c r="C7" s="111"/>
      <c r="D7" s="112" t="s">
        <v>949</v>
      </c>
      <c r="E7" s="112"/>
      <c r="F7" s="112"/>
      <c r="G7" s="113" t="s">
        <v>950</v>
      </c>
      <c r="H7" s="113"/>
      <c r="I7" s="113"/>
      <c r="J7" s="114" t="s">
        <v>951</v>
      </c>
      <c r="K7" s="114"/>
      <c r="L7" s="114"/>
      <c r="M7" s="115" t="s">
        <v>952</v>
      </c>
      <c r="N7" s="115"/>
      <c r="O7" s="115"/>
      <c r="P7" s="116" t="s">
        <v>953</v>
      </c>
      <c r="Q7" s="116"/>
      <c r="R7" s="116"/>
      <c r="S7" s="112" t="s">
        <v>954</v>
      </c>
      <c r="T7" s="112"/>
    </row>
    <row r="8" customFormat="false" ht="9.75" hidden="false" customHeight="true" outlineLevel="0" collapsed="false"/>
    <row r="9" customFormat="false" ht="24" hidden="false" customHeight="true" outlineLevel="0" collapsed="false">
      <c r="A9" s="15" t="s">
        <v>955</v>
      </c>
      <c r="B9" s="15"/>
      <c r="C9" s="15"/>
      <c r="D9" s="15"/>
      <c r="E9" s="15"/>
      <c r="G9" s="23" t="s">
        <v>956</v>
      </c>
      <c r="H9" s="23"/>
      <c r="I9" s="23"/>
      <c r="J9" s="23"/>
      <c r="K9" s="23"/>
      <c r="M9" s="41" t="s">
        <v>957</v>
      </c>
      <c r="N9" s="41"/>
      <c r="O9" s="41"/>
      <c r="P9" s="41"/>
      <c r="Q9" s="41"/>
      <c r="R9" s="41"/>
      <c r="S9" s="41"/>
    </row>
    <row r="10" customFormat="false" ht="21.75" hidden="false" customHeight="true" outlineLevel="0" collapsed="false">
      <c r="A10" s="117" t="s">
        <v>10</v>
      </c>
      <c r="B10" s="117" t="s">
        <v>836</v>
      </c>
      <c r="C10" s="117" t="s">
        <v>958</v>
      </c>
      <c r="D10" s="117" t="s">
        <v>837</v>
      </c>
      <c r="E10" s="117" t="s">
        <v>959</v>
      </c>
      <c r="G10" s="118" t="s">
        <v>840</v>
      </c>
      <c r="H10" s="118" t="s">
        <v>16</v>
      </c>
      <c r="I10" s="118" t="s">
        <v>17</v>
      </c>
      <c r="J10" s="118" t="s">
        <v>837</v>
      </c>
      <c r="K10" s="118" t="s">
        <v>960</v>
      </c>
      <c r="M10" s="119" t="s">
        <v>4</v>
      </c>
      <c r="N10" s="119" t="s">
        <v>16</v>
      </c>
      <c r="O10" s="119" t="s">
        <v>837</v>
      </c>
      <c r="P10" s="119" t="s">
        <v>874</v>
      </c>
      <c r="Q10" s="119" t="s">
        <v>8</v>
      </c>
    </row>
    <row r="11" customFormat="false" ht="21.75" hidden="false" customHeight="true" outlineLevel="0" collapsed="false">
      <c r="A11" s="120" t="s">
        <v>28</v>
      </c>
      <c r="B11" s="121" t="n">
        <f aca="false">SUMIF(Raw_Data!J5:J259,A11,Raw_Data!P5:P259)</f>
        <v>73693.55</v>
      </c>
      <c r="C11" s="121" t="n">
        <f aca="false">SUMIF(Raw_Data!J5:J259,A11,Raw_Data!Q5:Q259)</f>
        <v>19191.1</v>
      </c>
      <c r="D11" s="120" t="n">
        <f aca="false">COUNTIF(Raw_Data!J5:J259,A11)</f>
        <v>56</v>
      </c>
      <c r="E11" s="122" t="n">
        <f aca="false">IFERROR(C11/B11,0)</f>
        <v>0.260417634921917</v>
      </c>
      <c r="G11" s="120" t="s">
        <v>51</v>
      </c>
      <c r="H11" s="121" t="n">
        <f aca="false">SUMIF(Raw_Data!K5:K259,G11,Raw_Data!P5:P259)</f>
        <v>191975.36</v>
      </c>
      <c r="I11" s="121" t="n">
        <f aca="false">SUMIF(Raw_Data!K5:K259,G11,Raw_Data!Q5:Q259)</f>
        <v>40044.97</v>
      </c>
      <c r="J11" s="120" t="n">
        <f aca="false">COUNTIF(Raw_Data!K5:K259,G11)</f>
        <v>36</v>
      </c>
      <c r="K11" s="123" t="str">
        <f aca="false">IF(H11&gt;AVERAGE(H11:H15),"▲ Above Avg","▼ Below Avg")</f>
        <v>▲ Above Avg</v>
      </c>
      <c r="M11" s="120" t="s">
        <v>216</v>
      </c>
      <c r="N11" s="121" t="n">
        <f aca="false">SUMIF(Raw_Data!D5:D259,M11,Raw_Data!P5:P259)</f>
        <v>34146.12</v>
      </c>
      <c r="O11" s="120" t="n">
        <f aca="false">COUNTIF(Raw_Data!D5:D259,M11)</f>
        <v>2</v>
      </c>
      <c r="P11" s="124" t="str">
        <f aca="false">IF(N11&gt;3000,"⭐ VIP","Premium")</f>
        <v>⭐ VIP</v>
      </c>
      <c r="Q11" s="120" t="str">
        <f aca="false">IFERROR(xlookup(M11,Raw_Data!D5:D259,Raw_Data!H5:H259,"-"),"-")</f>
        <v>-</v>
      </c>
    </row>
    <row r="12" customFormat="false" ht="21.75" hidden="false" customHeight="true" outlineLevel="0" collapsed="false">
      <c r="A12" s="125" t="s">
        <v>88</v>
      </c>
      <c r="B12" s="126" t="n">
        <f aca="false">SUMIF(Raw_Data!J5:J259,A12,Raw_Data!P5:P259)</f>
        <v>77102.86</v>
      </c>
      <c r="C12" s="126" t="n">
        <f aca="false">SUMIF(Raw_Data!J5:J259,A12,Raw_Data!Q5:Q259)</f>
        <v>19678.02</v>
      </c>
      <c r="D12" s="125" t="n">
        <f aca="false">COUNTIF(Raw_Data!J5:J259,A12)</f>
        <v>65</v>
      </c>
      <c r="E12" s="127" t="n">
        <f aca="false">IFERROR(C12/B12,0)</f>
        <v>0.255217770132003</v>
      </c>
      <c r="G12" s="128" t="s">
        <v>104</v>
      </c>
      <c r="H12" s="129" t="n">
        <f aca="false">SUMIF(Raw_Data!K5:K259,G12,Raw_Data!P5:P259)</f>
        <v>17399.43</v>
      </c>
      <c r="I12" s="129" t="n">
        <f aca="false">SUMIF(Raw_Data!K5:K259,G12,Raw_Data!Q5:Q259)</f>
        <v>7304.39</v>
      </c>
      <c r="J12" s="128" t="n">
        <f aca="false">COUNTIF(Raw_Data!K5:K259,G12)</f>
        <v>46</v>
      </c>
      <c r="K12" s="130" t="str">
        <f aca="false">IF(H12&gt;AVERAGE(H11:H15),"▲ Above Avg","▼ Below Avg")</f>
        <v>▼ Below Avg</v>
      </c>
      <c r="M12" s="131" t="s">
        <v>76</v>
      </c>
      <c r="N12" s="132" t="n">
        <f aca="false">SUMIF(Raw_Data!D5:D259,M12,Raw_Data!P5:P259)</f>
        <v>33639.19</v>
      </c>
      <c r="O12" s="131" t="n">
        <f aca="false">COUNTIF(Raw_Data!D5:D259,M12)</f>
        <v>4</v>
      </c>
      <c r="P12" s="133" t="str">
        <f aca="false">IF(N12&gt;3000,"⭐ VIP","Premium")</f>
        <v>⭐ VIP</v>
      </c>
      <c r="Q12" s="131" t="str">
        <f aca="false">IFERROR(xlookup(M12,Raw_Data!D5:D259,Raw_Data!H5:H259,"-"),"-")</f>
        <v>-</v>
      </c>
    </row>
    <row r="13" customFormat="false" ht="21.75" hidden="false" customHeight="true" outlineLevel="0" collapsed="false">
      <c r="A13" s="120" t="s">
        <v>50</v>
      </c>
      <c r="B13" s="121" t="n">
        <f aca="false">SUMIF(Raw_Data!J5:J259,A13,Raw_Data!P5:P259)</f>
        <v>78372.68</v>
      </c>
      <c r="C13" s="121" t="n">
        <f aca="false">SUMIF(Raw_Data!J5:J259,A13,Raw_Data!Q5:Q259)</f>
        <v>19127.49</v>
      </c>
      <c r="D13" s="120" t="n">
        <f aca="false">COUNTIF(Raw_Data!J5:J259,A13)</f>
        <v>74</v>
      </c>
      <c r="E13" s="122" t="n">
        <f aca="false">IFERROR(C13/B13,0)</f>
        <v>0.244058133523059</v>
      </c>
      <c r="G13" s="120" t="s">
        <v>61</v>
      </c>
      <c r="H13" s="121" t="n">
        <f aca="false">SUMIF(Raw_Data!K5:K259,G13,Raw_Data!P5:P259)</f>
        <v>45657.2</v>
      </c>
      <c r="I13" s="121" t="n">
        <f aca="false">SUMIF(Raw_Data!K5:K259,G13,Raw_Data!Q5:Q259)</f>
        <v>14162.4</v>
      </c>
      <c r="J13" s="120" t="n">
        <f aca="false">COUNTIF(Raw_Data!K5:K259,G13)</f>
        <v>41</v>
      </c>
      <c r="K13" s="123" t="str">
        <f aca="false">IF(H13&gt;AVERAGE(H11:H15),"▲ Above Avg","▼ Below Avg")</f>
        <v>▼ Below Avg</v>
      </c>
      <c r="M13" s="120" t="s">
        <v>637</v>
      </c>
      <c r="N13" s="121" t="n">
        <f aca="false">SUMIF(Raw_Data!D5:D259,M13,Raw_Data!P5:P259)</f>
        <v>20521.9</v>
      </c>
      <c r="O13" s="120" t="n">
        <f aca="false">COUNTIF(Raw_Data!D5:D259,M13)</f>
        <v>2</v>
      </c>
      <c r="P13" s="124" t="str">
        <f aca="false">IF(N13&gt;3000,"⭐ VIP","Premium")</f>
        <v>⭐ VIP</v>
      </c>
      <c r="Q13" s="120" t="str">
        <f aca="false">IFERROR(xlookup(M13,Raw_Data!D5:D259,Raw_Data!H5:H259,"-"),"-")</f>
        <v>-</v>
      </c>
    </row>
    <row r="14" customFormat="false" ht="9.75" hidden="false" customHeight="true" outlineLevel="0" collapsed="false">
      <c r="A14" s="125" t="s">
        <v>79</v>
      </c>
      <c r="B14" s="126" t="n">
        <f aca="false">SUMIF(Raw_Data!J5:J259,A14,Raw_Data!P5:P259)</f>
        <v>50496.75</v>
      </c>
      <c r="C14" s="126" t="n">
        <f aca="false">SUMIF(Raw_Data!J5:J259,A14,Raw_Data!Q5:Q259)</f>
        <v>14989.5</v>
      </c>
      <c r="D14" s="125" t="n">
        <f aca="false">COUNTIF(Raw_Data!J5:J259,A14)</f>
        <v>60</v>
      </c>
      <c r="E14" s="127" t="n">
        <f aca="false">IFERROR(C14/B14,0)</f>
        <v>0.296840885799581</v>
      </c>
      <c r="G14" s="128" t="s">
        <v>134</v>
      </c>
      <c r="H14" s="129" t="n">
        <f aca="false">SUMIF(Raw_Data!K5:K259,G14,Raw_Data!P5:P259)</f>
        <v>5537.11</v>
      </c>
      <c r="I14" s="129" t="n">
        <f aca="false">SUMIF(Raw_Data!K5:K259,G14,Raw_Data!Q5:Q259)</f>
        <v>3001.52</v>
      </c>
      <c r="J14" s="128" t="n">
        <f aca="false">COUNTIF(Raw_Data!K5:K259,G14)</f>
        <v>44</v>
      </c>
      <c r="K14" s="130" t="str">
        <f aca="false">IF(H14&gt;AVERAGE(H11:H15),"▲ Above Avg","▼ Below Avg")</f>
        <v>▼ Below Avg</v>
      </c>
      <c r="M14" s="131" t="s">
        <v>168</v>
      </c>
      <c r="N14" s="132" t="n">
        <f aca="false">SUMIF(Raw_Data!D5:D259,M14,Raw_Data!P5:P259)</f>
        <v>19850.92</v>
      </c>
      <c r="O14" s="131" t="n">
        <f aca="false">COUNTIF(Raw_Data!D5:D259,M14)</f>
        <v>4</v>
      </c>
      <c r="P14" s="133" t="str">
        <f aca="false">IF(N14&gt;3000,"⭐ VIP","Premium")</f>
        <v>⭐ VIP</v>
      </c>
      <c r="Q14" s="131" t="str">
        <f aca="false">IFERROR(xlookup(M14,Raw_Data!D5:D259,Raw_Data!H5:H259,"-"),"-")</f>
        <v>-</v>
      </c>
    </row>
    <row r="15" customFormat="false" ht="19.5" hidden="false" customHeight="true" outlineLevel="0" collapsed="false">
      <c r="G15" s="120" t="s">
        <v>29</v>
      </c>
      <c r="H15" s="121" t="n">
        <f aca="false">SUMIF(Raw_Data!K5:K259,G15,Raw_Data!P5:P259)</f>
        <v>13664.27</v>
      </c>
      <c r="I15" s="121" t="n">
        <f aca="false">SUMIF(Raw_Data!K5:K259,G15,Raw_Data!Q5:Q259)</f>
        <v>5103.56</v>
      </c>
      <c r="J15" s="120" t="n">
        <f aca="false">COUNTIF(Raw_Data!K5:K259,G15)</f>
        <v>46</v>
      </c>
      <c r="K15" s="123" t="str">
        <f aca="false">IF(H15&gt;AVERAGE(H11:H15),"▲ Above Avg","▼ Below Avg")</f>
        <v>▼ Below Avg</v>
      </c>
      <c r="M15" s="120" t="s">
        <v>423</v>
      </c>
      <c r="N15" s="121" t="n">
        <f aca="false">SUMIF(Raw_Data!D5:D259,M15,Raw_Data!P5:P259)</f>
        <v>17080.75</v>
      </c>
      <c r="O15" s="120" t="n">
        <f aca="false">COUNTIF(Raw_Data!D5:D259,M15)</f>
        <v>3</v>
      </c>
      <c r="P15" s="124" t="str">
        <f aca="false">IF(N15&gt;3000,"⭐ VIP","Premium")</f>
        <v>⭐ VIP</v>
      </c>
      <c r="Q15" s="120" t="str">
        <f aca="false">IFERROR(xlookup(M15,Raw_Data!D5:D259,Raw_Data!H5:H259,"-"),"-")</f>
        <v>-</v>
      </c>
    </row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24" hidden="false" customHeight="true" outlineLevel="0" collapsed="false">
      <c r="A22" s="41" t="s">
        <v>961</v>
      </c>
      <c r="B22" s="41"/>
      <c r="C22" s="41"/>
      <c r="D22" s="41"/>
      <c r="E22" s="41"/>
      <c r="F22" s="41"/>
      <c r="G22" s="41"/>
      <c r="H22" s="41"/>
      <c r="I22" s="41"/>
      <c r="J22" s="41"/>
    </row>
    <row r="23" customFormat="false" ht="19.5" hidden="false" customHeight="true" outlineLevel="0" collapsed="false">
      <c r="A23" s="57" t="s">
        <v>962</v>
      </c>
      <c r="C23" s="57" t="s">
        <v>963</v>
      </c>
      <c r="D23" s="57" t="s">
        <v>964</v>
      </c>
      <c r="E23" s="57" t="s">
        <v>874</v>
      </c>
      <c r="F23" s="57" t="s">
        <v>965</v>
      </c>
    </row>
    <row r="24" customFormat="false" ht="19.5" hidden="false" customHeight="true" outlineLevel="0" collapsed="false">
      <c r="A24" s="16" t="s">
        <v>966</v>
      </c>
      <c r="B24" s="16"/>
      <c r="C24" s="134" t="n">
        <f aca="false">SUM(Raw_Data!P5:P259)</f>
        <v>279665.84</v>
      </c>
      <c r="D24" s="135" t="s">
        <v>879</v>
      </c>
      <c r="E24" s="16" t="str">
        <f aca="false">IF(C24&gt;=D24,"✅ Met","❌ Below")</f>
        <v>❌ Below</v>
      </c>
      <c r="F24" s="136" t="str">
        <f aca="false">IF(C24&gt;=D24,"▲ Above Target","▼ Below Target")</f>
        <v>▼ Below Target</v>
      </c>
    </row>
    <row r="25" customFormat="false" ht="19.5" hidden="false" customHeight="true" outlineLevel="0" collapsed="false">
      <c r="A25" s="19" t="s">
        <v>967</v>
      </c>
      <c r="B25" s="19"/>
      <c r="C25" s="137" t="n">
        <f aca="false">IFERROR(SUM(Raw_Data!Q5:Q259)/SUM(Raw_Data!P5:P259),0)</f>
        <v>0.260976134947336</v>
      </c>
      <c r="D25" s="138" t="s">
        <v>968</v>
      </c>
      <c r="E25" s="19" t="str">
        <f aca="false">IF(C25&gt;=D25,"✅ Met","❌ Below")</f>
        <v>❌ Below</v>
      </c>
      <c r="F25" s="139" t="str">
        <f aca="false">IF(C25&gt;=D25,"▲ Above Target","▼ Below Target")</f>
        <v>▼ Below Target</v>
      </c>
    </row>
    <row r="26" customFormat="false" ht="19.5" hidden="false" customHeight="true" outlineLevel="0" collapsed="false">
      <c r="A26" s="16" t="s">
        <v>969</v>
      </c>
      <c r="B26" s="16"/>
      <c r="C26" s="140" t="n">
        <f aca="false">COUNTA(Raw_Data!A5:A259)</f>
        <v>255</v>
      </c>
      <c r="D26" s="141" t="s">
        <v>970</v>
      </c>
      <c r="E26" s="16" t="str">
        <f aca="false">IF(C26&gt;=D26,"✅ Met","❌ Below")</f>
        <v>❌ Below</v>
      </c>
      <c r="F26" s="136" t="str">
        <f aca="false">IF(C26&gt;=D26,"▲ Above Target","▼ Below Target")</f>
        <v>▼ Below Target</v>
      </c>
    </row>
    <row r="27" customFormat="false" ht="19.5" hidden="false" customHeight="true" outlineLevel="0" collapsed="false">
      <c r="A27" s="19" t="s">
        <v>971</v>
      </c>
      <c r="B27" s="19"/>
      <c r="C27" s="142" t="n">
        <f aca="false">IFERROR(SUM(Raw_Data!P5:P259)/COUNTA(Raw_Data!A5:A259),0)</f>
        <v>1096.72878431373</v>
      </c>
      <c r="D27" s="143" t="s">
        <v>972</v>
      </c>
      <c r="E27" s="19" t="str">
        <f aca="false">IF(C27&gt;=D27,"✅ Met","❌ Below")</f>
        <v>❌ Below</v>
      </c>
      <c r="F27" s="139" t="str">
        <f aca="false">IF(C27&gt;=D27,"▲ Above Target","▼ Below Target")</f>
        <v>▼ Below Target</v>
      </c>
    </row>
    <row r="28" customFormat="false" ht="19.5" hidden="false" customHeight="true" outlineLevel="0" collapsed="false">
      <c r="A28" s="16" t="s">
        <v>973</v>
      </c>
      <c r="B28" s="16"/>
      <c r="C28" s="144" t="n">
        <f aca="false">AVERAGE(Raw_Data!O5:O259)</f>
        <v>0.0686274509803922</v>
      </c>
      <c r="D28" s="145" t="s">
        <v>974</v>
      </c>
      <c r="E28" s="16" t="str">
        <f aca="false">IF(C28&gt;=D28,"✅ Met","❌ Below")</f>
        <v>❌ Below</v>
      </c>
      <c r="F28" s="136" t="str">
        <f aca="false">IF(C28&gt;=D28,"▲ Above Target","▼ Below Target")</f>
        <v>▼ Below Target</v>
      </c>
    </row>
    <row r="29" customFormat="false" ht="19.5" hidden="false" customHeight="true" outlineLevel="0" collapsed="false"/>
  </sheetData>
  <mergeCells count="38">
    <mergeCell ref="A2:T2"/>
    <mergeCell ref="A4:C4"/>
    <mergeCell ref="D4:F4"/>
    <mergeCell ref="G4:I4"/>
    <mergeCell ref="J4:L4"/>
    <mergeCell ref="M4:O4"/>
    <mergeCell ref="P4:R4"/>
    <mergeCell ref="S4:T4"/>
    <mergeCell ref="A5:C6"/>
    <mergeCell ref="D5:F5"/>
    <mergeCell ref="G5:I6"/>
    <mergeCell ref="J5:L5"/>
    <mergeCell ref="M5:O5"/>
    <mergeCell ref="P5:R5"/>
    <mergeCell ref="S5:T5"/>
    <mergeCell ref="A6:C6"/>
    <mergeCell ref="D6:F6"/>
    <mergeCell ref="G6:I6"/>
    <mergeCell ref="J6:L6"/>
    <mergeCell ref="M6:O6"/>
    <mergeCell ref="P6:R6"/>
    <mergeCell ref="S6:T6"/>
    <mergeCell ref="A7:C7"/>
    <mergeCell ref="D7:F7"/>
    <mergeCell ref="G7:I7"/>
    <mergeCell ref="J7:L7"/>
    <mergeCell ref="M7:O7"/>
    <mergeCell ref="P7:R7"/>
    <mergeCell ref="S7:T7"/>
    <mergeCell ref="A9:E9"/>
    <mergeCell ref="G9:K9"/>
    <mergeCell ref="M9:S9"/>
    <mergeCell ref="A22:J22"/>
    <mergeCell ref="A24:B24"/>
    <mergeCell ref="A25:B25"/>
    <mergeCell ref="A26:B26"/>
    <mergeCell ref="A27:B27"/>
    <mergeCell ref="A28:B28"/>
  </mergeCells>
  <conditionalFormatting sqref="E24:E28">
    <cfRule type="expression" priority="2" aboveAverage="0" equalAverage="0" bottom="0" percent="0" rank="0" text="" dxfId="83">
      <formula>E24="✅ Met"</formula>
    </cfRule>
    <cfRule type="expression" priority="3" aboveAverage="0" equalAverage="0" bottom="0" percent="0" rank="0" text="" dxfId="84">
      <formula>E24="❌ Below"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13" min="5" style="1" width="12"/>
  </cols>
  <sheetData>
    <row r="1" customFormat="false" ht="31.5" hidden="false" customHeight="true" outlineLevel="0" collapsed="false">
      <c r="A1" s="146" t="s">
        <v>975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customFormat="false" ht="15" hidden="false" customHeight="true" outlineLevel="0" collapsed="false">
      <c r="A2" s="147" t="str">
        <f aca="true">CONCATENATE("Report Date: ",TEXT(TODAY(),"DD MMMM YYYY"),"  |  Data Intelligence Dashboard Final Analysis")</f>
        <v>Report Date: 10 May 2026  |  Data Intelligence Dashboard Final Analysis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4" customFormat="false" ht="24" hidden="false" customHeight="true" outlineLevel="0" collapsed="false">
      <c r="A4" s="148" t="s">
        <v>976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</row>
    <row r="5" customFormat="false" ht="15" hidden="false" customHeight="true" outlineLevel="0" collapsed="false">
      <c r="A5" s="149" t="s">
        <v>977</v>
      </c>
      <c r="B5" s="149"/>
      <c r="C5" s="149"/>
      <c r="D5" s="150" t="n">
        <f aca="false">SUM(Raw_Data!P5:P259)</f>
        <v>279665.84</v>
      </c>
      <c r="E5" s="151" t="s">
        <v>978</v>
      </c>
      <c r="F5" s="151"/>
      <c r="G5" s="151"/>
      <c r="H5" s="151"/>
      <c r="I5" s="151"/>
      <c r="J5" s="151"/>
      <c r="K5" s="151"/>
      <c r="L5" s="151"/>
      <c r="M5" s="151"/>
    </row>
    <row r="6" customFormat="false" ht="15" hidden="false" customHeight="true" outlineLevel="0" collapsed="false">
      <c r="A6" s="152" t="s">
        <v>979</v>
      </c>
      <c r="B6" s="152"/>
      <c r="C6" s="152"/>
      <c r="D6" s="153" t="n">
        <f aca="false">SUM(Raw_Data!Q5:Q259)</f>
        <v>72986.11</v>
      </c>
      <c r="E6" s="154" t="s">
        <v>980</v>
      </c>
      <c r="F6" s="154"/>
      <c r="G6" s="154"/>
      <c r="H6" s="154"/>
      <c r="I6" s="154"/>
      <c r="J6" s="154"/>
      <c r="K6" s="154"/>
      <c r="L6" s="154"/>
      <c r="M6" s="154"/>
    </row>
    <row r="7" customFormat="false" ht="15" hidden="false" customHeight="true" outlineLevel="0" collapsed="false">
      <c r="A7" s="149" t="s">
        <v>981</v>
      </c>
      <c r="B7" s="149"/>
      <c r="C7" s="149"/>
      <c r="D7" s="155" t="n">
        <f aca="false">IFERROR(SUM(Raw_Data!Q5:Q259)/SUM(Raw_Data!P5:P259),0)</f>
        <v>0.260976134947336</v>
      </c>
      <c r="E7" s="151" t="s">
        <v>982</v>
      </c>
      <c r="F7" s="151"/>
      <c r="G7" s="151"/>
      <c r="H7" s="151"/>
      <c r="I7" s="151"/>
      <c r="J7" s="151"/>
      <c r="K7" s="151"/>
      <c r="L7" s="151"/>
      <c r="M7" s="151"/>
    </row>
    <row r="8" customFormat="false" ht="15" hidden="false" customHeight="true" outlineLevel="0" collapsed="false">
      <c r="A8" s="152" t="s">
        <v>983</v>
      </c>
      <c r="B8" s="152"/>
      <c r="C8" s="152"/>
      <c r="D8" s="156" t="n">
        <f aca="false">COUNTA(Raw_Data!A5:A259)</f>
        <v>255</v>
      </c>
      <c r="E8" s="154" t="s">
        <v>984</v>
      </c>
      <c r="F8" s="154"/>
      <c r="G8" s="154"/>
      <c r="H8" s="154"/>
      <c r="I8" s="154"/>
      <c r="J8" s="154"/>
      <c r="K8" s="154"/>
      <c r="L8" s="154"/>
      <c r="M8" s="154"/>
    </row>
    <row r="9" customFormat="false" ht="15" hidden="false" customHeight="true" outlineLevel="0" collapsed="false">
      <c r="A9" s="149" t="s">
        <v>985</v>
      </c>
      <c r="B9" s="149"/>
      <c r="C9" s="149"/>
      <c r="D9" s="157" t="n">
        <f aca="false">SUMPRODUCT(1/COUNTIF(Raw_Data!D5:D259,Raw_Data!D5:D259))</f>
        <v>75</v>
      </c>
      <c r="E9" s="151" t="s">
        <v>986</v>
      </c>
      <c r="F9" s="151"/>
      <c r="G9" s="151"/>
      <c r="H9" s="151"/>
      <c r="I9" s="151"/>
      <c r="J9" s="151"/>
      <c r="K9" s="151"/>
      <c r="L9" s="151"/>
      <c r="M9" s="151"/>
    </row>
    <row r="10" customFormat="false" ht="15" hidden="false" customHeight="true" outlineLevel="0" collapsed="false">
      <c r="A10" s="152" t="s">
        <v>987</v>
      </c>
      <c r="B10" s="152"/>
      <c r="C10" s="152"/>
      <c r="D10" s="153" t="n">
        <f aca="false">IFERROR(SUM(Raw_Data!P5:P259)/COUNTA(Raw_Data!A5:A259),0)</f>
        <v>1096.72878431373</v>
      </c>
      <c r="E10" s="154" t="s">
        <v>988</v>
      </c>
      <c r="F10" s="154"/>
      <c r="G10" s="154"/>
      <c r="H10" s="154"/>
      <c r="I10" s="154"/>
      <c r="J10" s="154"/>
      <c r="K10" s="154"/>
      <c r="L10" s="154"/>
      <c r="M10" s="154"/>
    </row>
    <row r="11" customFormat="false" ht="15" hidden="false" customHeight="true" outlineLevel="0" collapsed="false">
      <c r="A11" s="149" t="s">
        <v>989</v>
      </c>
      <c r="B11" s="149"/>
      <c r="C11" s="149"/>
      <c r="D11" s="155" t="n">
        <f aca="false">AVERAGE(Raw_Data!O5:O259)</f>
        <v>0.0686274509803922</v>
      </c>
      <c r="E11" s="151" t="s">
        <v>990</v>
      </c>
      <c r="F11" s="151"/>
      <c r="G11" s="151"/>
      <c r="H11" s="151"/>
      <c r="I11" s="151"/>
      <c r="J11" s="151"/>
      <c r="K11" s="151"/>
      <c r="L11" s="151"/>
      <c r="M11" s="151"/>
    </row>
    <row r="12" customFormat="false" ht="15" hidden="false" customHeight="true" outlineLevel="0" collapsed="false">
      <c r="A12" s="152" t="s">
        <v>991</v>
      </c>
      <c r="B12" s="152"/>
      <c r="C12" s="152"/>
      <c r="D12" s="158" t="n">
        <f aca="false">AVERAGE(IFERROR(DATEVALUE(Raw_Data!C5:C259)-DATEVALUE(Raw_Data!B5:B259),0))</f>
        <v>3</v>
      </c>
      <c r="E12" s="154" t="s">
        <v>992</v>
      </c>
      <c r="F12" s="154"/>
      <c r="G12" s="154"/>
      <c r="H12" s="154"/>
      <c r="I12" s="154"/>
      <c r="J12" s="154"/>
      <c r="K12" s="154"/>
      <c r="L12" s="154"/>
      <c r="M12" s="154"/>
    </row>
    <row r="14" customFormat="false" ht="24" hidden="false" customHeight="true" outlineLevel="0" collapsed="false">
      <c r="A14" s="159" t="s">
        <v>993</v>
      </c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</row>
    <row r="15" customFormat="false" ht="15" hidden="false" customHeight="true" outlineLevel="0" collapsed="false">
      <c r="A15" s="149" t="s">
        <v>994</v>
      </c>
      <c r="B15" s="149"/>
      <c r="C15" s="149"/>
      <c r="D15" s="160" t="str">
        <f aca="false">INDEX({"Electronics","Clothing","Home &amp; Kitchen","Books","Sports","Beauty"},MATCH(MAX(SUMIF(Raw_Data!K5:K259,{"Electronics","Clothing","Home &amp; Kitchen","Books","Sports","Beauty"},Raw_Data!P5:P259)),SUMIF(Raw_Data!K5:K259,{"Electronics","Clothing","Home &amp; Kitchen","Books","Sports","Beauty"},Raw_Data!P5:P259),0))</f>
        <v>Electronics</v>
      </c>
      <c r="E15" s="151" t="s">
        <v>995</v>
      </c>
      <c r="F15" s="151"/>
      <c r="G15" s="151"/>
      <c r="H15" s="151"/>
      <c r="I15" s="151"/>
      <c r="J15" s="151"/>
      <c r="K15" s="151"/>
      <c r="L15" s="151"/>
      <c r="M15" s="151"/>
    </row>
    <row r="16" customFormat="false" ht="15" hidden="false" customHeight="true" outlineLevel="0" collapsed="false">
      <c r="A16" s="152" t="s">
        <v>996</v>
      </c>
      <c r="B16" s="152"/>
      <c r="C16" s="152"/>
      <c r="D16" s="161" t="str">
        <f aca="false">INDEX({"Electronics","Clothing","Home &amp; Kitchen","Books","Sports","Beauty"},MATCH(MIN(SUMIF(Raw_Data!K5:K259,{"Electronics","Clothing","Home &amp; Kitchen","Books","Sports","Beauty"},Raw_Data!P5:P259)),SUMIF(Raw_Data!K5:K259,{"Electronics","Clothing","Home &amp; Kitchen","Books","Sports","Beauty"},Raw_Data!P5:P259),0))</f>
        <v>Beauty</v>
      </c>
      <c r="E16" s="154" t="s">
        <v>997</v>
      </c>
      <c r="F16" s="154"/>
      <c r="G16" s="154"/>
      <c r="H16" s="154"/>
      <c r="I16" s="154"/>
      <c r="J16" s="154"/>
      <c r="K16" s="154"/>
      <c r="L16" s="154"/>
      <c r="M16" s="154"/>
    </row>
    <row r="17" customFormat="false" ht="15" hidden="false" customHeight="true" outlineLevel="0" collapsed="false">
      <c r="A17" s="149" t="s">
        <v>998</v>
      </c>
      <c r="B17" s="149"/>
      <c r="C17" s="149"/>
      <c r="D17" s="160" t="str">
        <f aca="false">INDEX(Raw_Data!L5:L259,MATCH(MAX(COUNTIF(Raw_Data!L5:L259,Raw_Data!L5:L259)),COUNTIF(Raw_Data!L5:L259,Raw_Data!L5:L259),0))</f>
        <v>Headphones</v>
      </c>
      <c r="E17" s="151" t="s">
        <v>999</v>
      </c>
      <c r="F17" s="151"/>
      <c r="G17" s="151"/>
      <c r="H17" s="151"/>
      <c r="I17" s="151"/>
      <c r="J17" s="151"/>
      <c r="K17" s="151"/>
      <c r="L17" s="151"/>
      <c r="M17" s="151"/>
    </row>
    <row r="18" customFormat="false" ht="15" hidden="false" customHeight="true" outlineLevel="0" collapsed="false">
      <c r="A18" s="152" t="s">
        <v>1000</v>
      </c>
      <c r="B18" s="152"/>
      <c r="C18" s="152"/>
      <c r="D18" s="153" t="n">
        <f aca="false">SUMIF(Raw_Data!K5:K259,"Electronics",Raw_Data!P5:P259)</f>
        <v>191975.36</v>
      </c>
      <c r="E18" s="154" t="s">
        <v>1001</v>
      </c>
      <c r="F18" s="154"/>
      <c r="G18" s="154"/>
      <c r="H18" s="154"/>
      <c r="I18" s="154"/>
      <c r="J18" s="154"/>
      <c r="K18" s="154"/>
      <c r="L18" s="154"/>
      <c r="M18" s="154"/>
    </row>
    <row r="19" customFormat="false" ht="15" hidden="false" customHeight="true" outlineLevel="0" collapsed="false">
      <c r="A19" s="149" t="s">
        <v>1002</v>
      </c>
      <c r="B19" s="149"/>
      <c r="C19" s="149"/>
      <c r="D19" s="155" t="n">
        <f aca="false">IFERROR(SUMIF(Raw_Data!K5:K259,"Beauty",Raw_Data!Q5:Q259)/SUMIF(Raw_Data!K5:K259,"Beauty",Raw_Data!P5:P259),0)</f>
        <v>0.620209591585411</v>
      </c>
      <c r="E19" s="151" t="s">
        <v>1003</v>
      </c>
      <c r="F19" s="151"/>
      <c r="G19" s="151"/>
      <c r="H19" s="151"/>
      <c r="I19" s="151"/>
      <c r="J19" s="151"/>
      <c r="K19" s="151"/>
      <c r="L19" s="151"/>
      <c r="M19" s="151"/>
    </row>
    <row r="20" customFormat="false" ht="15" hidden="false" customHeight="true" outlineLevel="0" collapsed="false">
      <c r="A20" s="152" t="s">
        <v>1004</v>
      </c>
      <c r="B20" s="152"/>
      <c r="C20" s="152"/>
      <c r="D20" s="153" t="n">
        <f aca="false">IFERROR(SUMIF(Raw_Data!K5:K259,"Books",Raw_Data!P5:P259)/COUNTIF(Raw_Data!K5:K259,"Books"),0)</f>
        <v>125.843409090909</v>
      </c>
      <c r="E20" s="154" t="s">
        <v>1005</v>
      </c>
      <c r="F20" s="154"/>
      <c r="G20" s="154"/>
      <c r="H20" s="154"/>
      <c r="I20" s="154"/>
      <c r="J20" s="154"/>
      <c r="K20" s="154"/>
      <c r="L20" s="154"/>
      <c r="M20" s="154"/>
    </row>
    <row r="22" customFormat="false" ht="24" hidden="false" customHeight="true" outlineLevel="0" collapsed="false">
      <c r="A22" s="162" t="s">
        <v>1006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</row>
    <row r="23" customFormat="false" ht="15" hidden="false" customHeight="true" outlineLevel="0" collapsed="false">
      <c r="A23" s="149" t="s">
        <v>1007</v>
      </c>
      <c r="B23" s="149"/>
      <c r="C23" s="149"/>
      <c r="D23" s="150" t="n">
        <f aca="false">SUMIF(Raw_Data!J5:J259,"North",Raw_Data!P5:P259)</f>
        <v>73693.55</v>
      </c>
      <c r="E23" s="151" t="s">
        <v>1008</v>
      </c>
      <c r="F23" s="151"/>
      <c r="G23" s="151"/>
      <c r="H23" s="151"/>
      <c r="I23" s="151"/>
      <c r="J23" s="151"/>
      <c r="K23" s="151"/>
      <c r="L23" s="151"/>
      <c r="M23" s="151"/>
    </row>
    <row r="24" customFormat="false" ht="15" hidden="false" customHeight="true" outlineLevel="0" collapsed="false">
      <c r="A24" s="152" t="s">
        <v>1009</v>
      </c>
      <c r="B24" s="152"/>
      <c r="C24" s="152"/>
      <c r="D24" s="153" t="n">
        <f aca="false">SUMIF(Raw_Data!J5:J259,"South",Raw_Data!P5:P259)</f>
        <v>77102.86</v>
      </c>
      <c r="E24" s="154" t="s">
        <v>1010</v>
      </c>
      <c r="F24" s="154"/>
      <c r="G24" s="154"/>
      <c r="H24" s="154"/>
      <c r="I24" s="154"/>
      <c r="J24" s="154"/>
      <c r="K24" s="154"/>
      <c r="L24" s="154"/>
      <c r="M24" s="154"/>
    </row>
    <row r="25" customFormat="false" ht="15" hidden="false" customHeight="true" outlineLevel="0" collapsed="false">
      <c r="A25" s="149" t="s">
        <v>1011</v>
      </c>
      <c r="B25" s="149"/>
      <c r="C25" s="149"/>
      <c r="D25" s="150" t="n">
        <f aca="false">SUMIF(Raw_Data!J5:J259,"East",Raw_Data!P5:P259)</f>
        <v>78372.68</v>
      </c>
      <c r="E25" s="151" t="s">
        <v>1012</v>
      </c>
      <c r="F25" s="151"/>
      <c r="G25" s="151"/>
      <c r="H25" s="151"/>
      <c r="I25" s="151"/>
      <c r="J25" s="151"/>
      <c r="K25" s="151"/>
      <c r="L25" s="151"/>
      <c r="M25" s="151"/>
    </row>
    <row r="26" customFormat="false" ht="15" hidden="false" customHeight="true" outlineLevel="0" collapsed="false">
      <c r="A26" s="152" t="s">
        <v>1013</v>
      </c>
      <c r="B26" s="152"/>
      <c r="C26" s="152"/>
      <c r="D26" s="153" t="n">
        <f aca="false">SUMIF(Raw_Data!J5:J259,"West",Raw_Data!P5:P259)</f>
        <v>50496.75</v>
      </c>
      <c r="E26" s="154" t="s">
        <v>1014</v>
      </c>
      <c r="F26" s="154"/>
      <c r="G26" s="154"/>
      <c r="H26" s="154"/>
      <c r="I26" s="154"/>
      <c r="J26" s="154"/>
      <c r="K26" s="154"/>
      <c r="L26" s="154"/>
      <c r="M26" s="154"/>
    </row>
    <row r="27" customFormat="false" ht="15" hidden="false" customHeight="true" outlineLevel="0" collapsed="false">
      <c r="A27" s="149" t="s">
        <v>1015</v>
      </c>
      <c r="B27" s="149"/>
      <c r="C27" s="149"/>
      <c r="D27" s="160" t="str">
        <f aca="false">INDEX({"North","South","East","West"},MATCH(MAX(SUMIF(Raw_Data!J5:J259,{"North","South","East","West"},Raw_Data!P5:P259)),SUMIF(Raw_Data!J5:J259,{"North","South","East","West"},Raw_Data!P5:P259),0))</f>
        <v>East</v>
      </c>
      <c r="E27" s="151" t="s">
        <v>1016</v>
      </c>
      <c r="F27" s="151"/>
      <c r="G27" s="151"/>
      <c r="H27" s="151"/>
      <c r="I27" s="151"/>
      <c r="J27" s="151"/>
      <c r="K27" s="151"/>
      <c r="L27" s="151"/>
      <c r="M27" s="151"/>
    </row>
    <row r="28" customFormat="false" ht="15" hidden="false" customHeight="true" outlineLevel="0" collapsed="false">
      <c r="A28" s="152" t="s">
        <v>1017</v>
      </c>
      <c r="B28" s="152"/>
      <c r="C28" s="152"/>
      <c r="D28" s="161" t="str">
        <f aca="false">INDEX({"North","South","East","West"},MATCH(MIN(SUMIF(Raw_Data!J5:J259,{"North","South","East","West"},Raw_Data!P5:P259)),SUMIF(Raw_Data!J5:J259,{"North","South","East","West"},Raw_Data!P5:P259),0))</f>
        <v>West</v>
      </c>
      <c r="E28" s="154" t="s">
        <v>1018</v>
      </c>
      <c r="F28" s="154"/>
      <c r="G28" s="154"/>
      <c r="H28" s="154"/>
      <c r="I28" s="154"/>
      <c r="J28" s="154"/>
      <c r="K28" s="154"/>
      <c r="L28" s="154"/>
      <c r="M28" s="154"/>
    </row>
    <row r="29" customFormat="false" ht="15" hidden="false" customHeight="true" outlineLevel="0" collapsed="false">
      <c r="A29" s="149" t="s">
        <v>1019</v>
      </c>
      <c r="B29" s="149"/>
      <c r="C29" s="149"/>
      <c r="D29" s="150" t="n">
        <f aca="false">MAX(SUMIF(Raw_Data!J5:J259,{"North","South","East","West"},Raw_Data!P5:P259))-MIN(SUMIF(Raw_Data!J5:J259,{"North","South","East","West"},Raw_Data!P5:P259))</f>
        <v>27875.93</v>
      </c>
      <c r="E29" s="151" t="s">
        <v>1020</v>
      </c>
      <c r="F29" s="151"/>
      <c r="G29" s="151"/>
      <c r="H29" s="151"/>
      <c r="I29" s="151"/>
      <c r="J29" s="151"/>
      <c r="K29" s="151"/>
      <c r="L29" s="151"/>
      <c r="M29" s="151"/>
    </row>
    <row r="31" customFormat="false" ht="24" hidden="false" customHeight="true" outlineLevel="0" collapsed="false">
      <c r="A31" s="163" t="s">
        <v>1021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</row>
    <row r="32" customFormat="false" ht="15" hidden="false" customHeight="true" outlineLevel="0" collapsed="false">
      <c r="A32" s="152" t="s">
        <v>1022</v>
      </c>
      <c r="B32" s="152"/>
      <c r="C32" s="152"/>
      <c r="D32" s="161" t="str">
        <f aca="false">INDEX(Raw_Data!D5:D259,MATCH(MAX(SUMIF(Raw_Data!D5:D259,Raw_Data!D5:D259,Raw_Data!P5:P259)),SUMIF(Raw_Data!D5:D259,Raw_Data!D5:D259,Raw_Data!P5:P259),0))</f>
        <v>Vikram Bose</v>
      </c>
      <c r="E32" s="154" t="s">
        <v>1023</v>
      </c>
      <c r="F32" s="154"/>
      <c r="G32" s="154"/>
      <c r="H32" s="154"/>
      <c r="I32" s="154"/>
      <c r="J32" s="154"/>
      <c r="K32" s="154"/>
      <c r="L32" s="154"/>
      <c r="M32" s="154"/>
    </row>
    <row r="33" customFormat="false" ht="15" hidden="false" customHeight="true" outlineLevel="0" collapsed="false">
      <c r="A33" s="149" t="s">
        <v>863</v>
      </c>
      <c r="B33" s="149"/>
      <c r="C33" s="149"/>
      <c r="D33" s="160" t="str">
        <f aca="false">INDEX(Raw_Data!D5:D259,MATCH(MAX(COUNTIF(Raw_Data!D5:D259,Raw_Data!D5:D259)),COUNTIF(Raw_Data!D5:D259,Raw_Data!D5:D259),0))</f>
        <v>Ananya Verma</v>
      </c>
      <c r="E33" s="151" t="s">
        <v>1024</v>
      </c>
      <c r="F33" s="151"/>
      <c r="G33" s="151"/>
      <c r="H33" s="151"/>
      <c r="I33" s="151"/>
      <c r="J33" s="151"/>
      <c r="K33" s="151"/>
      <c r="L33" s="151"/>
      <c r="M33" s="151"/>
    </row>
    <row r="34" customFormat="false" ht="15" hidden="false" customHeight="true" outlineLevel="0" collapsed="false">
      <c r="A34" s="152" t="s">
        <v>1025</v>
      </c>
      <c r="B34" s="152"/>
      <c r="C34" s="152"/>
      <c r="D34" s="153" t="n">
        <f aca="false">SUMIF(Raw_Data!F5:F259,"Male",Raw_Data!P5:P259)</f>
        <v>181892.24</v>
      </c>
      <c r="E34" s="154" t="s">
        <v>1026</v>
      </c>
      <c r="F34" s="154"/>
      <c r="G34" s="154"/>
      <c r="H34" s="154"/>
      <c r="I34" s="154"/>
      <c r="J34" s="154"/>
      <c r="K34" s="154"/>
      <c r="L34" s="154"/>
      <c r="M34" s="154"/>
    </row>
    <row r="35" customFormat="false" ht="15" hidden="false" customHeight="true" outlineLevel="0" collapsed="false">
      <c r="A35" s="149" t="s">
        <v>1027</v>
      </c>
      <c r="B35" s="149"/>
      <c r="C35" s="149"/>
      <c r="D35" s="150" t="n">
        <f aca="false">SUMIF(Raw_Data!F5:F259,"Female",Raw_Data!P5:P259)</f>
        <v>97773.6</v>
      </c>
      <c r="E35" s="151" t="s">
        <v>1028</v>
      </c>
      <c r="F35" s="151"/>
      <c r="G35" s="151"/>
      <c r="H35" s="151"/>
      <c r="I35" s="151"/>
      <c r="J35" s="151"/>
      <c r="K35" s="151"/>
      <c r="L35" s="151"/>
      <c r="M35" s="151"/>
    </row>
    <row r="36" customFormat="false" ht="15" hidden="false" customHeight="true" outlineLevel="0" collapsed="false">
      <c r="A36" s="152" t="s">
        <v>1029</v>
      </c>
      <c r="B36" s="152"/>
      <c r="C36" s="152"/>
      <c r="D36" s="161" t="str">
        <f aca="false">INDEX(Raw_Data!R5:R259,MATCH(MAX(COUNTIF(Raw_Data!R5:R259,Raw_Data!R5:R259)),COUNTIF(Raw_Data!R5:R259,Raw_Data!R5:R259),0))</f>
        <v>Cash On Delivery</v>
      </c>
      <c r="E36" s="154" t="s">
        <v>1030</v>
      </c>
      <c r="F36" s="154"/>
      <c r="G36" s="154"/>
      <c r="H36" s="154"/>
      <c r="I36" s="154"/>
      <c r="J36" s="154"/>
      <c r="K36" s="154"/>
      <c r="L36" s="154"/>
      <c r="M36" s="154"/>
    </row>
    <row r="37" customFormat="false" ht="15" hidden="false" customHeight="true" outlineLevel="0" collapsed="false">
      <c r="A37" s="149" t="s">
        <v>1031</v>
      </c>
      <c r="B37" s="149"/>
      <c r="C37" s="149"/>
      <c r="D37" s="157" t="n">
        <f aca="false">COUNTIF(Raw_Data!O5:O259,"&gt;0.15")</f>
        <v>33</v>
      </c>
      <c r="E37" s="151" t="s">
        <v>1032</v>
      </c>
      <c r="F37" s="151"/>
      <c r="G37" s="151"/>
      <c r="H37" s="151"/>
      <c r="I37" s="151"/>
      <c r="J37" s="151"/>
      <c r="K37" s="151"/>
      <c r="L37" s="151"/>
      <c r="M37" s="151"/>
    </row>
    <row r="39" customFormat="false" ht="24" hidden="false" customHeight="true" outlineLevel="0" collapsed="false">
      <c r="A39" s="164" t="s">
        <v>1033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</row>
    <row r="40" customFormat="false" ht="15" hidden="false" customHeight="true" outlineLevel="0" collapsed="false">
      <c r="A40" s="152" t="s">
        <v>1034</v>
      </c>
      <c r="B40" s="152"/>
      <c r="C40" s="152"/>
      <c r="D40" s="153" t="n">
        <f aca="false">SUM(Raw_Data!Q5:Q259)</f>
        <v>72986.11</v>
      </c>
      <c r="E40" s="154" t="s">
        <v>1035</v>
      </c>
      <c r="F40" s="154"/>
      <c r="G40" s="154"/>
      <c r="H40" s="154"/>
      <c r="I40" s="154"/>
      <c r="J40" s="154"/>
      <c r="K40" s="154"/>
      <c r="L40" s="154"/>
      <c r="M40" s="154"/>
    </row>
    <row r="41" customFormat="false" ht="15" hidden="false" customHeight="true" outlineLevel="0" collapsed="false">
      <c r="A41" s="149" t="s">
        <v>1036</v>
      </c>
      <c r="B41" s="149"/>
      <c r="C41" s="149"/>
      <c r="D41" s="150" t="n">
        <f aca="false">MAX(Raw_Data!Q5:Q259)</f>
        <v>7186.93</v>
      </c>
      <c r="E41" s="151" t="s">
        <v>1037</v>
      </c>
      <c r="F41" s="151"/>
      <c r="G41" s="151"/>
      <c r="H41" s="151"/>
      <c r="I41" s="151"/>
      <c r="J41" s="151"/>
      <c r="K41" s="151"/>
      <c r="L41" s="151"/>
      <c r="M41" s="151"/>
    </row>
    <row r="42" customFormat="false" ht="15" hidden="false" customHeight="true" outlineLevel="0" collapsed="false">
      <c r="A42" s="152" t="s">
        <v>1038</v>
      </c>
      <c r="B42" s="152"/>
      <c r="C42" s="152"/>
      <c r="D42" s="153" t="n">
        <f aca="false">MIN(Raw_Data!Q5:Q259)</f>
        <v>3.75</v>
      </c>
      <c r="E42" s="154" t="s">
        <v>1039</v>
      </c>
      <c r="F42" s="154"/>
      <c r="G42" s="154"/>
      <c r="H42" s="154"/>
      <c r="I42" s="154"/>
      <c r="J42" s="154"/>
      <c r="K42" s="154"/>
      <c r="L42" s="154"/>
      <c r="M42" s="154"/>
    </row>
    <row r="43" customFormat="false" ht="15" hidden="false" customHeight="true" outlineLevel="0" collapsed="false">
      <c r="A43" s="149" t="s">
        <v>1040</v>
      </c>
      <c r="B43" s="149"/>
      <c r="C43" s="149"/>
      <c r="D43" s="150" t="n">
        <f aca="false">IFERROR(SUM(Raw_Data!Q5:Q259)/COUNTA(Raw_Data!A5:A259),0)</f>
        <v>286.220039215686</v>
      </c>
      <c r="E43" s="151" t="s">
        <v>1041</v>
      </c>
      <c r="F43" s="151"/>
      <c r="G43" s="151"/>
      <c r="H43" s="151"/>
      <c r="I43" s="151"/>
      <c r="J43" s="151"/>
      <c r="K43" s="151"/>
      <c r="L43" s="151"/>
      <c r="M43" s="151"/>
    </row>
    <row r="44" customFormat="false" ht="15" hidden="false" customHeight="true" outlineLevel="0" collapsed="false">
      <c r="A44" s="152" t="s">
        <v>1042</v>
      </c>
      <c r="B44" s="152"/>
      <c r="C44" s="152"/>
      <c r="D44" s="153" t="n">
        <f aca="false">SUMPRODUCT(Raw_Data!N5:N259*Raw_Data!M5:M259)</f>
        <v>292830.88</v>
      </c>
      <c r="E44" s="154" t="s">
        <v>1043</v>
      </c>
      <c r="F44" s="154"/>
      <c r="G44" s="154"/>
      <c r="H44" s="154"/>
      <c r="I44" s="154"/>
      <c r="J44" s="154"/>
      <c r="K44" s="154"/>
      <c r="L44" s="154"/>
      <c r="M44" s="154"/>
    </row>
    <row r="45" customFormat="false" ht="15" hidden="false" customHeight="true" outlineLevel="0" collapsed="false">
      <c r="A45" s="149" t="s">
        <v>1044</v>
      </c>
      <c r="B45" s="149"/>
      <c r="C45" s="149"/>
      <c r="D45" s="150" t="n">
        <f aca="false">SUMPRODUCT(Raw_Data!N5:N259*Raw_Data!M5:M259)-SUM(Raw_Data!P5:P259)</f>
        <v>13165.04</v>
      </c>
      <c r="E45" s="151" t="s">
        <v>1045</v>
      </c>
      <c r="F45" s="151"/>
      <c r="G45" s="151"/>
      <c r="H45" s="151"/>
      <c r="I45" s="151"/>
      <c r="J45" s="151"/>
      <c r="K45" s="151"/>
      <c r="L45" s="151"/>
      <c r="M45" s="151"/>
    </row>
    <row r="47" customFormat="false" ht="24" hidden="false" customHeight="true" outlineLevel="0" collapsed="false">
      <c r="A47" s="165" t="s">
        <v>1046</v>
      </c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</row>
    <row r="48" customFormat="false" ht="36" hidden="false" customHeight="true" outlineLevel="0" collapsed="false">
      <c r="A48" s="166" t="s">
        <v>1047</v>
      </c>
      <c r="B48" s="166"/>
      <c r="C48" s="167" t="s">
        <v>1048</v>
      </c>
      <c r="D48" s="168" t="s">
        <v>1049</v>
      </c>
      <c r="E48" s="168"/>
      <c r="F48" s="168"/>
      <c r="G48" s="168"/>
      <c r="H48" s="168"/>
      <c r="I48" s="168"/>
      <c r="J48" s="168"/>
      <c r="K48" s="168"/>
      <c r="L48" s="168"/>
      <c r="M48" s="168"/>
    </row>
    <row r="49" customFormat="false" ht="36" hidden="false" customHeight="true" outlineLevel="0" collapsed="false">
      <c r="A49" s="169" t="s">
        <v>1050</v>
      </c>
      <c r="B49" s="169"/>
      <c r="C49" s="170" t="s">
        <v>1051</v>
      </c>
      <c r="D49" s="171" t="s">
        <v>1052</v>
      </c>
      <c r="E49" s="171"/>
      <c r="F49" s="171"/>
      <c r="G49" s="171"/>
      <c r="H49" s="171"/>
      <c r="I49" s="171"/>
      <c r="J49" s="171"/>
      <c r="K49" s="171"/>
      <c r="L49" s="171"/>
      <c r="M49" s="171"/>
    </row>
    <row r="50" customFormat="false" ht="36" hidden="false" customHeight="true" outlineLevel="0" collapsed="false">
      <c r="A50" s="166" t="s">
        <v>1053</v>
      </c>
      <c r="B50" s="166"/>
      <c r="C50" s="167" t="s">
        <v>1054</v>
      </c>
      <c r="D50" s="168" t="s">
        <v>1055</v>
      </c>
      <c r="E50" s="168"/>
      <c r="F50" s="168"/>
      <c r="G50" s="168"/>
      <c r="H50" s="168"/>
      <c r="I50" s="168"/>
      <c r="J50" s="168"/>
      <c r="K50" s="168"/>
      <c r="L50" s="168"/>
      <c r="M50" s="168"/>
    </row>
    <row r="51" customFormat="false" ht="36" hidden="false" customHeight="true" outlineLevel="0" collapsed="false">
      <c r="A51" s="169" t="s">
        <v>1056</v>
      </c>
      <c r="B51" s="169"/>
      <c r="C51" s="170" t="s">
        <v>1057</v>
      </c>
      <c r="D51" s="171" t="s">
        <v>1058</v>
      </c>
      <c r="E51" s="171"/>
      <c r="F51" s="171"/>
      <c r="G51" s="171"/>
      <c r="H51" s="171"/>
      <c r="I51" s="171"/>
      <c r="J51" s="171"/>
      <c r="K51" s="171"/>
      <c r="L51" s="171"/>
      <c r="M51" s="171"/>
    </row>
    <row r="52" customFormat="false" ht="36" hidden="false" customHeight="true" outlineLevel="0" collapsed="false">
      <c r="A52" s="166" t="s">
        <v>1059</v>
      </c>
      <c r="B52" s="166"/>
      <c r="C52" s="167" t="s">
        <v>1060</v>
      </c>
      <c r="D52" s="168" t="s">
        <v>1061</v>
      </c>
      <c r="E52" s="168"/>
      <c r="F52" s="168"/>
      <c r="G52" s="168"/>
      <c r="H52" s="168"/>
      <c r="I52" s="168"/>
      <c r="J52" s="168"/>
      <c r="K52" s="168"/>
      <c r="L52" s="168"/>
      <c r="M52" s="168"/>
    </row>
    <row r="53" customFormat="false" ht="36" hidden="false" customHeight="true" outlineLevel="0" collapsed="false">
      <c r="A53" s="169" t="s">
        <v>1062</v>
      </c>
      <c r="B53" s="169"/>
      <c r="C53" s="170" t="s">
        <v>1063</v>
      </c>
      <c r="D53" s="171" t="s">
        <v>1064</v>
      </c>
      <c r="E53" s="171"/>
      <c r="F53" s="171"/>
      <c r="G53" s="171"/>
      <c r="H53" s="171"/>
      <c r="I53" s="171"/>
      <c r="J53" s="171"/>
      <c r="K53" s="171"/>
      <c r="L53" s="171"/>
      <c r="M53" s="171"/>
    </row>
    <row r="54" customFormat="false" ht="36" hidden="false" customHeight="true" outlineLevel="0" collapsed="false">
      <c r="A54" s="166" t="s">
        <v>1065</v>
      </c>
      <c r="B54" s="166"/>
      <c r="C54" s="167" t="s">
        <v>1066</v>
      </c>
      <c r="D54" s="168" t="s">
        <v>1067</v>
      </c>
      <c r="E54" s="168"/>
      <c r="F54" s="168"/>
      <c r="G54" s="168"/>
      <c r="H54" s="168"/>
      <c r="I54" s="168"/>
      <c r="J54" s="168"/>
      <c r="K54" s="168"/>
      <c r="L54" s="168"/>
      <c r="M54" s="168"/>
    </row>
    <row r="55" customFormat="false" ht="36" hidden="false" customHeight="true" outlineLevel="0" collapsed="false">
      <c r="A55" s="169" t="s">
        <v>1068</v>
      </c>
      <c r="B55" s="169"/>
      <c r="C55" s="170" t="s">
        <v>1069</v>
      </c>
      <c r="D55" s="171" t="s">
        <v>1070</v>
      </c>
      <c r="E55" s="171"/>
      <c r="F55" s="171"/>
      <c r="G55" s="171"/>
      <c r="H55" s="171"/>
      <c r="I55" s="171"/>
      <c r="J55" s="171"/>
      <c r="K55" s="171"/>
      <c r="L55" s="171"/>
      <c r="M55" s="171"/>
    </row>
  </sheetData>
  <mergeCells count="90">
    <mergeCell ref="A1:M1"/>
    <mergeCell ref="A2:M2"/>
    <mergeCell ref="A4:M4"/>
    <mergeCell ref="A5:C5"/>
    <mergeCell ref="E5:M5"/>
    <mergeCell ref="A6:C6"/>
    <mergeCell ref="E6:M6"/>
    <mergeCell ref="A7:C7"/>
    <mergeCell ref="E7:M7"/>
    <mergeCell ref="A8:C8"/>
    <mergeCell ref="E8:M8"/>
    <mergeCell ref="A9:C9"/>
    <mergeCell ref="E9:M9"/>
    <mergeCell ref="A10:C10"/>
    <mergeCell ref="E10:M10"/>
    <mergeCell ref="A11:C11"/>
    <mergeCell ref="E11:M11"/>
    <mergeCell ref="A12:C12"/>
    <mergeCell ref="E12:M12"/>
    <mergeCell ref="A14:M14"/>
    <mergeCell ref="A15:C15"/>
    <mergeCell ref="E15:M15"/>
    <mergeCell ref="A16:C16"/>
    <mergeCell ref="E16:M16"/>
    <mergeCell ref="A17:C17"/>
    <mergeCell ref="E17:M17"/>
    <mergeCell ref="A18:C18"/>
    <mergeCell ref="E18:M18"/>
    <mergeCell ref="A19:C19"/>
    <mergeCell ref="E19:M19"/>
    <mergeCell ref="A20:C20"/>
    <mergeCell ref="E20:M20"/>
    <mergeCell ref="A22:M22"/>
    <mergeCell ref="A23:C23"/>
    <mergeCell ref="E23:M23"/>
    <mergeCell ref="A24:C24"/>
    <mergeCell ref="E24:M24"/>
    <mergeCell ref="A25:C25"/>
    <mergeCell ref="E25:M25"/>
    <mergeCell ref="A26:C26"/>
    <mergeCell ref="E26:M26"/>
    <mergeCell ref="A27:C27"/>
    <mergeCell ref="E27:M27"/>
    <mergeCell ref="A28:C28"/>
    <mergeCell ref="E28:M28"/>
    <mergeCell ref="A29:C29"/>
    <mergeCell ref="E29:M29"/>
    <mergeCell ref="A31:M31"/>
    <mergeCell ref="A32:C32"/>
    <mergeCell ref="E32:M32"/>
    <mergeCell ref="A33:C33"/>
    <mergeCell ref="E33:M33"/>
    <mergeCell ref="A34:C34"/>
    <mergeCell ref="E34:M34"/>
    <mergeCell ref="A35:C35"/>
    <mergeCell ref="E35:M35"/>
    <mergeCell ref="A36:C36"/>
    <mergeCell ref="E36:M36"/>
    <mergeCell ref="A37:C37"/>
    <mergeCell ref="E37:M37"/>
    <mergeCell ref="A39:M39"/>
    <mergeCell ref="A40:C40"/>
    <mergeCell ref="E40:M40"/>
    <mergeCell ref="A41:C41"/>
    <mergeCell ref="E41:M41"/>
    <mergeCell ref="A42:C42"/>
    <mergeCell ref="E42:M42"/>
    <mergeCell ref="A43:C43"/>
    <mergeCell ref="E43:M43"/>
    <mergeCell ref="A44:C44"/>
    <mergeCell ref="E44:M44"/>
    <mergeCell ref="A45:C45"/>
    <mergeCell ref="E45:M45"/>
    <mergeCell ref="A47:M47"/>
    <mergeCell ref="A48:B48"/>
    <mergeCell ref="D48:M48"/>
    <mergeCell ref="A49:B49"/>
    <mergeCell ref="D49:M49"/>
    <mergeCell ref="A50:B50"/>
    <mergeCell ref="D50:M50"/>
    <mergeCell ref="A51:B51"/>
    <mergeCell ref="D51:M51"/>
    <mergeCell ref="A52:B52"/>
    <mergeCell ref="D52:M52"/>
    <mergeCell ref="A53:B53"/>
    <mergeCell ref="D53:M53"/>
    <mergeCell ref="A54:B54"/>
    <mergeCell ref="D54:M54"/>
    <mergeCell ref="A55:B55"/>
    <mergeCell ref="D55:M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2026-05-10T17:42:05Z</dcterms:created>
  <dc:creator>openpyxl</dc:creator>
  <dc:description/>
  <dc:language>en-US</dc:language>
  <cp:lastModifiedBy/>
  <dcterms:modified xsi:type="dcterms:W3CDTF">2026-05-10T17:43:07Z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